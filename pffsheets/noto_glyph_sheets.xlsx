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-to-utf" sheetId="1" state="visible" r:id="rId1"/>
    <sheet name="NamesList_read_onli" sheetId="2" state="visible" r:id="rId2"/>
    <sheet name="Names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</t>
        </is>
      </c>
      <c r="B1" t="inlineStr">
        <is>
          <t>900</t>
        </is>
      </c>
      <c r="C1" t="inlineStr">
        <is>
          <t>980</t>
        </is>
      </c>
      <c r="D1" t="inlineStr">
        <is>
          <t>A00</t>
        </is>
      </c>
      <c r="E1" t="inlineStr">
        <is>
          <t>A80</t>
        </is>
      </c>
      <c r="F1" t="inlineStr">
        <is>
          <t>B00</t>
        </is>
      </c>
      <c r="G1" t="inlineStr">
        <is>
          <t>B80</t>
        </is>
      </c>
      <c r="H1" t="inlineStr">
        <is>
          <t>C00</t>
        </is>
      </c>
      <c r="I1" t="inlineStr">
        <is>
          <t>C80</t>
        </is>
      </c>
      <c r="J1" t="inlineStr">
        <is>
          <t>D00</t>
        </is>
      </c>
      <c r="K1" t="inlineStr">
        <is>
          <t>D80</t>
        </is>
      </c>
    </row>
    <row r="2">
      <c r="A2" t="inlineStr">
        <is>
          <t>00</t>
        </is>
      </c>
      <c r="B2" t="inlineStr">
        <is>
          <t>clear</t>
        </is>
      </c>
      <c r="C2" t="inlineStr">
        <is>
          <t>clear</t>
        </is>
      </c>
      <c r="D2" t="inlineStr">
        <is>
          <t>clear</t>
        </is>
      </c>
      <c r="E2" t="inlineStr">
        <is>
          <t>clear</t>
        </is>
      </c>
      <c r="F2" t="inlineStr">
        <is>
          <t>clear</t>
        </is>
      </c>
      <c r="G2" t="inlineStr">
        <is>
          <t>clear</t>
        </is>
      </c>
      <c r="H2" t="inlineStr">
        <is>
          <t>clear</t>
        </is>
      </c>
      <c r="I2" t="inlineStr">
        <is>
          <t>clear</t>
        </is>
      </c>
      <c r="J2" t="inlineStr">
        <is>
          <t>clear</t>
        </is>
      </c>
      <c r="K2" t="inlineStr">
        <is>
          <t>clear</t>
        </is>
      </c>
    </row>
    <row r="3">
      <c r="A3" t="inlineStr">
        <is>
          <t>01</t>
        </is>
      </c>
      <c r="B3" t="inlineStr">
        <is>
          <t>clear</t>
        </is>
      </c>
      <c r="C3" t="inlineStr">
        <is>
          <t>clear</t>
        </is>
      </c>
      <c r="D3" t="inlineStr">
        <is>
          <t>clear</t>
        </is>
      </c>
      <c r="E3" t="inlineStr">
        <is>
          <t>clear</t>
        </is>
      </c>
      <c r="F3" t="inlineStr">
        <is>
          <t>clear</t>
        </is>
      </c>
      <c r="G3" t="inlineStr">
        <is>
          <t>clear</t>
        </is>
      </c>
      <c r="H3" t="inlineStr">
        <is>
          <t>clear</t>
        </is>
      </c>
      <c r="I3" t="inlineStr">
        <is>
          <t>clear</t>
        </is>
      </c>
      <c r="J3" t="inlineStr">
        <is>
          <t>clear</t>
        </is>
      </c>
      <c r="K3" t="inlineStr">
        <is>
          <t>clear</t>
        </is>
      </c>
    </row>
    <row r="4">
      <c r="A4" t="inlineStr">
        <is>
          <t>02</t>
        </is>
      </c>
      <c r="B4" t="inlineStr">
        <is>
          <t>clear</t>
        </is>
      </c>
      <c r="C4" t="inlineStr">
        <is>
          <t>clear</t>
        </is>
      </c>
      <c r="D4" t="inlineStr">
        <is>
          <t>clear</t>
        </is>
      </c>
      <c r="E4" t="inlineStr">
        <is>
          <t>clear</t>
        </is>
      </c>
      <c r="F4" t="inlineStr">
        <is>
          <t>clear</t>
        </is>
      </c>
      <c r="G4" t="inlineStr">
        <is>
          <t>clear</t>
        </is>
      </c>
      <c r="H4" t="inlineStr">
        <is>
          <t>clear</t>
        </is>
      </c>
      <c r="I4" t="inlineStr">
        <is>
          <t>clear</t>
        </is>
      </c>
      <c r="J4" t="inlineStr">
        <is>
          <t>clear</t>
        </is>
      </c>
      <c r="K4" t="inlineStr">
        <is>
          <t>clear</t>
        </is>
      </c>
    </row>
    <row r="5">
      <c r="A5" t="inlineStr">
        <is>
          <t>03</t>
        </is>
      </c>
      <c r="B5" t="inlineStr">
        <is>
          <t>clear</t>
        </is>
      </c>
      <c r="C5" t="inlineStr">
        <is>
          <t>clear</t>
        </is>
      </c>
      <c r="D5" t="inlineStr">
        <is>
          <t>clear</t>
        </is>
      </c>
      <c r="E5" t="inlineStr">
        <is>
          <t>clear</t>
        </is>
      </c>
      <c r="F5" t="inlineStr">
        <is>
          <t>clear</t>
        </is>
      </c>
      <c r="G5" t="inlineStr">
        <is>
          <t>clear</t>
        </is>
      </c>
      <c r="H5" t="inlineStr">
        <is>
          <t>clear</t>
        </is>
      </c>
      <c r="I5" t="inlineStr">
        <is>
          <t>clear</t>
        </is>
      </c>
      <c r="J5" t="inlineStr">
        <is>
          <t>clear</t>
        </is>
      </c>
      <c r="K5" t="inlineStr">
        <is>
          <t>clear</t>
        </is>
      </c>
    </row>
    <row r="6">
      <c r="A6" t="inlineStr">
        <is>
          <t>04</t>
        </is>
      </c>
      <c r="B6" t="inlineStr">
        <is>
          <t>e</t>
        </is>
      </c>
      <c r="C6" t="inlineStr">
        <is>
          <t>clear</t>
        </is>
      </c>
      <c r="D6" t="inlineStr">
        <is>
          <t>clear</t>
        </is>
      </c>
      <c r="E6" t="inlineStr">
        <is>
          <t>clear</t>
        </is>
      </c>
      <c r="F6" t="inlineStr">
        <is>
          <t>clear</t>
        </is>
      </c>
      <c r="G6" t="inlineStr">
        <is>
          <t>clear</t>
        </is>
      </c>
      <c r="H6" t="inlineStr">
        <is>
          <t>clear</t>
        </is>
      </c>
      <c r="I6" t="inlineStr">
        <is>
          <t>clear</t>
        </is>
      </c>
      <c r="J6" t="inlineStr">
        <is>
          <t>clear</t>
        </is>
      </c>
      <c r="K6" t="inlineStr">
        <is>
          <t>clear</t>
        </is>
      </c>
    </row>
    <row r="7">
      <c r="A7" t="inlineStr">
        <is>
          <t>05</t>
        </is>
      </c>
      <c r="B7" t="inlineStr">
        <is>
          <t>A</t>
        </is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</row>
    <row r="8">
      <c r="A8" t="inlineStr">
        <is>
          <t>06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</row>
    <row r="9">
      <c r="A9" t="inlineStr">
        <is>
          <t>07</t>
        </is>
      </c>
      <c r="B9" t="inlineStr">
        <is>
          <t>i</t>
        </is>
      </c>
      <c r="C9" t="inlineStr">
        <is>
          <t>i</t>
        </is>
      </c>
      <c r="D9" t="inlineStr">
        <is>
          <t>i</t>
        </is>
      </c>
      <c r="E9" t="inlineStr">
        <is>
          <t>i</t>
        </is>
      </c>
      <c r="F9" t="inlineStr">
        <is>
          <t>i</t>
        </is>
      </c>
      <c r="G9" t="inlineStr">
        <is>
          <t>i</t>
        </is>
      </c>
      <c r="H9" t="inlineStr">
        <is>
          <t>i</t>
        </is>
      </c>
      <c r="I9" t="inlineStr">
        <is>
          <t>i</t>
        </is>
      </c>
      <c r="J9" t="inlineStr">
        <is>
          <t>i</t>
        </is>
      </c>
      <c r="K9" t="inlineStr">
        <is>
          <t>e</t>
        </is>
      </c>
    </row>
    <row r="10">
      <c r="A10" t="inlineStr">
        <is>
          <t>08</t>
        </is>
      </c>
      <c r="B10" t="inlineStr">
        <is>
          <t>i</t>
        </is>
      </c>
      <c r="C10" t="inlineStr">
        <is>
          <t>i</t>
        </is>
      </c>
      <c r="D10" t="inlineStr">
        <is>
          <t>i</t>
        </is>
      </c>
      <c r="E10" t="inlineStr">
        <is>
          <t>i</t>
        </is>
      </c>
      <c r="F10" t="inlineStr">
        <is>
          <t>i</t>
        </is>
      </c>
      <c r="G10" t="inlineStr">
        <is>
          <t>i</t>
        </is>
      </c>
      <c r="H10" t="inlineStr">
        <is>
          <t>i</t>
        </is>
      </c>
      <c r="I10" t="inlineStr">
        <is>
          <t>i</t>
        </is>
      </c>
      <c r="J10" t="inlineStr">
        <is>
          <t>i</t>
        </is>
      </c>
      <c r="K10" t="inlineStr">
        <is>
          <t>a</t>
        </is>
      </c>
    </row>
    <row r="11">
      <c r="A11" t="inlineStr">
        <is>
          <t>09</t>
        </is>
      </c>
      <c r="B11" t="inlineStr">
        <is>
          <t>u</t>
        </is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u</t>
        </is>
      </c>
      <c r="G11" t="inlineStr">
        <is>
          <t>u</t>
        </is>
      </c>
      <c r="H11" t="inlineStr">
        <is>
          <t>u</t>
        </is>
      </c>
      <c r="I11" t="inlineStr">
        <is>
          <t>u</t>
        </is>
      </c>
      <c r="J11" t="inlineStr">
        <is>
          <t>u</t>
        </is>
      </c>
      <c r="K11" t="inlineStr">
        <is>
          <t>i</t>
        </is>
      </c>
    </row>
    <row r="12">
      <c r="A12" t="inlineStr">
        <is>
          <t>0A</t>
        </is>
      </c>
      <c r="B12" t="inlineStr">
        <is>
          <t>u</t>
        </is>
      </c>
      <c r="C12" t="inlineStr">
        <is>
          <t>u</t>
        </is>
      </c>
      <c r="D12" t="inlineStr">
        <is>
          <t>u</t>
        </is>
      </c>
      <c r="E12" t="inlineStr">
        <is>
          <t>u</t>
        </is>
      </c>
      <c r="F12" t="inlineStr">
        <is>
          <t>u</t>
        </is>
      </c>
      <c r="G12" t="inlineStr">
        <is>
          <t>u</t>
        </is>
      </c>
      <c r="H12" t="inlineStr">
        <is>
          <t>u</t>
        </is>
      </c>
      <c r="I12" t="inlineStr">
        <is>
          <t>u</t>
        </is>
      </c>
      <c r="J12" t="inlineStr">
        <is>
          <t>u</t>
        </is>
      </c>
      <c r="K12" t="inlineStr">
        <is>
          <t>i</t>
        </is>
      </c>
    </row>
    <row r="13">
      <c r="A13" t="inlineStr">
        <is>
          <t>0B</t>
        </is>
      </c>
      <c r="B13" t="inlineStr">
        <is>
          <t>r</t>
        </is>
      </c>
      <c r="C13" t="inlineStr">
        <is>
          <t>r</t>
        </is>
      </c>
      <c r="D13" t="inlineStr">
        <is>
          <t>clear</t>
        </is>
      </c>
      <c r="E13" t="inlineStr">
        <is>
          <t>r</t>
        </is>
      </c>
      <c r="F13" t="inlineStr">
        <is>
          <t>r</t>
        </is>
      </c>
      <c r="G13" t="inlineStr">
        <is>
          <t>clear</t>
        </is>
      </c>
      <c r="H13" t="inlineStr">
        <is>
          <t>r</t>
        </is>
      </c>
      <c r="I13" t="inlineStr">
        <is>
          <t>r</t>
        </is>
      </c>
      <c r="J13" t="inlineStr">
        <is>
          <t>r</t>
        </is>
      </c>
      <c r="K13" t="inlineStr">
        <is>
          <t>u</t>
        </is>
      </c>
    </row>
    <row r="14">
      <c r="A14" t="inlineStr">
        <is>
          <t>0C</t>
        </is>
      </c>
      <c r="B14" t="inlineStr">
        <is>
          <t>l</t>
        </is>
      </c>
      <c r="C14" t="inlineStr">
        <is>
          <t>l</t>
        </is>
      </c>
      <c r="D14" t="inlineStr">
        <is>
          <t>clear</t>
        </is>
      </c>
      <c r="E14" t="inlineStr">
        <is>
          <t>l</t>
        </is>
      </c>
      <c r="F14" t="inlineStr">
        <is>
          <t>l</t>
        </is>
      </c>
      <c r="G14" t="inlineStr">
        <is>
          <t>clear</t>
        </is>
      </c>
      <c r="H14" t="inlineStr">
        <is>
          <t>l</t>
        </is>
      </c>
      <c r="I14" t="inlineStr">
        <is>
          <t>l</t>
        </is>
      </c>
      <c r="J14" t="inlineStr">
        <is>
          <t>l</t>
        </is>
      </c>
      <c r="K14" t="inlineStr">
        <is>
          <t>u</t>
        </is>
      </c>
    </row>
    <row r="15">
      <c r="A15" t="inlineStr">
        <is>
          <t>0D</t>
        </is>
      </c>
      <c r="B15" t="inlineStr">
        <is>
          <t>e</t>
        </is>
      </c>
      <c r="C15" t="inlineStr">
        <is>
          <t>clear</t>
        </is>
      </c>
      <c r="D15" t="inlineStr">
        <is>
          <t>clear</t>
        </is>
      </c>
      <c r="E15" t="inlineStr">
        <is>
          <t>clear</t>
        </is>
      </c>
      <c r="F15" t="inlineStr">
        <is>
          <t>clear</t>
        </is>
      </c>
      <c r="G15" t="inlineStr">
        <is>
          <t>clear</t>
        </is>
      </c>
      <c r="H15" t="inlineStr">
        <is>
          <t>clear</t>
        </is>
      </c>
      <c r="I15" t="inlineStr">
        <is>
          <t>clear</t>
        </is>
      </c>
      <c r="J15" t="inlineStr">
        <is>
          <t>clear</t>
        </is>
      </c>
      <c r="K15" t="inlineStr">
        <is>
          <t>r</t>
        </is>
      </c>
    </row>
    <row r="16">
      <c r="A16" t="inlineStr">
        <is>
          <t>0E</t>
        </is>
      </c>
      <c r="B16" t="inlineStr">
        <is>
          <t>e</t>
        </is>
      </c>
      <c r="C16" t="inlineStr">
        <is>
          <t>clear</t>
        </is>
      </c>
      <c r="D16" t="inlineStr">
        <is>
          <t>clear</t>
        </is>
      </c>
      <c r="E16" t="inlineStr">
        <is>
          <t>clear</t>
        </is>
      </c>
      <c r="F16" t="inlineStr">
        <is>
          <t>clear</t>
        </is>
      </c>
      <c r="G16" t="inlineStr">
        <is>
          <t>e</t>
        </is>
      </c>
      <c r="H16" t="inlineStr">
        <is>
          <t>e</t>
        </is>
      </c>
      <c r="I16" t="inlineStr">
        <is>
          <t>e</t>
        </is>
      </c>
      <c r="J16" t="inlineStr">
        <is>
          <t>e</t>
        </is>
      </c>
      <c r="K16" t="inlineStr">
        <is>
          <t>R</t>
        </is>
      </c>
    </row>
    <row r="17">
      <c r="A17" t="inlineStr">
        <is>
          <t>0F</t>
        </is>
      </c>
      <c r="B17" t="inlineStr">
        <is>
          <t>e</t>
        </is>
      </c>
      <c r="C17" t="inlineStr">
        <is>
          <t>e</t>
        </is>
      </c>
      <c r="D17" t="inlineStr">
        <is>
          <t>e</t>
        </is>
      </c>
      <c r="E17" t="inlineStr">
        <is>
          <t>e</t>
        </is>
      </c>
      <c r="F17" t="inlineStr">
        <is>
          <t>e</t>
        </is>
      </c>
      <c r="G17" t="inlineStr">
        <is>
          <t>e</t>
        </is>
      </c>
      <c r="H17" t="inlineStr">
        <is>
          <t>e</t>
        </is>
      </c>
      <c r="I17" t="inlineStr">
        <is>
          <t>e</t>
        </is>
      </c>
      <c r="J17" t="inlineStr">
        <is>
          <t>e</t>
        </is>
      </c>
      <c r="K17" t="inlineStr">
        <is>
          <t>l</t>
        </is>
      </c>
    </row>
    <row r="18">
      <c r="A18" t="inlineStr">
        <is>
          <t>10</t>
        </is>
      </c>
      <c r="B18" t="inlineStr">
        <is>
          <t>e</t>
        </is>
      </c>
      <c r="C18" t="inlineStr">
        <is>
          <t>e</t>
        </is>
      </c>
      <c r="D18" t="inlineStr">
        <is>
          <t>e</t>
        </is>
      </c>
      <c r="E18" t="inlineStr">
        <is>
          <t>e</t>
        </is>
      </c>
      <c r="F18" t="inlineStr">
        <is>
          <t>e</t>
        </is>
      </c>
      <c r="G18" t="inlineStr">
        <is>
          <t>e</t>
        </is>
      </c>
      <c r="H18" t="inlineStr">
        <is>
          <t>e</t>
        </is>
      </c>
      <c r="I18" t="inlineStr">
        <is>
          <t>e</t>
        </is>
      </c>
      <c r="J18" t="inlineStr">
        <is>
          <t>e</t>
        </is>
      </c>
      <c r="K18" t="inlineStr">
        <is>
          <t>l</t>
        </is>
      </c>
    </row>
    <row r="19">
      <c r="A19" t="inlineStr">
        <is>
          <t>11</t>
        </is>
      </c>
      <c r="B19" t="inlineStr">
        <is>
          <t>o</t>
        </is>
      </c>
      <c r="C19" t="inlineStr">
        <is>
          <t>clear</t>
        </is>
      </c>
      <c r="D19" t="inlineStr">
        <is>
          <t>clear</t>
        </is>
      </c>
      <c r="E19" t="inlineStr">
        <is>
          <t>clear</t>
        </is>
      </c>
      <c r="F19" t="inlineStr">
        <is>
          <t>clear</t>
        </is>
      </c>
      <c r="G19" t="inlineStr">
        <is>
          <t>clear</t>
        </is>
      </c>
      <c r="H19" t="inlineStr">
        <is>
          <t>clear</t>
        </is>
      </c>
      <c r="I19" t="inlineStr">
        <is>
          <t>clear</t>
        </is>
      </c>
      <c r="J19" t="inlineStr">
        <is>
          <t>clear</t>
        </is>
      </c>
      <c r="K19" t="inlineStr">
        <is>
          <t>e</t>
        </is>
      </c>
    </row>
    <row r="20">
      <c r="A20" t="inlineStr">
        <is>
          <t>12</t>
        </is>
      </c>
      <c r="B20" t="inlineStr">
        <is>
          <t>o</t>
        </is>
      </c>
      <c r="C20" t="inlineStr">
        <is>
          <t>clear</t>
        </is>
      </c>
      <c r="D20" t="inlineStr">
        <is>
          <t>clear</t>
        </is>
      </c>
      <c r="E20" t="inlineStr">
        <is>
          <t>clear</t>
        </is>
      </c>
      <c r="F20" t="inlineStr">
        <is>
          <t>clear</t>
        </is>
      </c>
      <c r="G20" t="inlineStr">
        <is>
          <t>o</t>
        </is>
      </c>
      <c r="H20" t="inlineStr">
        <is>
          <t>o</t>
        </is>
      </c>
      <c r="I20" t="inlineStr">
        <is>
          <t>o</t>
        </is>
      </c>
      <c r="J20" t="inlineStr">
        <is>
          <t>o</t>
        </is>
      </c>
      <c r="K20" t="inlineStr">
        <is>
          <t>e</t>
        </is>
      </c>
    </row>
    <row r="21">
      <c r="A21" t="inlineStr">
        <is>
          <t>13</t>
        </is>
      </c>
      <c r="B21" t="inlineStr">
        <is>
          <t>o</t>
        </is>
      </c>
      <c r="C21" t="inlineStr">
        <is>
          <t>o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inlineStr">
        <is>
          <t>o</t>
        </is>
      </c>
      <c r="H21" t="inlineStr">
        <is>
          <t>o</t>
        </is>
      </c>
      <c r="I21" t="inlineStr">
        <is>
          <t>o</t>
        </is>
      </c>
      <c r="J21" t="inlineStr">
        <is>
          <t>o</t>
        </is>
      </c>
      <c r="K21" t="inlineStr">
        <is>
          <t>e</t>
        </is>
      </c>
    </row>
    <row r="22">
      <c r="A22" t="inlineStr">
        <is>
          <t>14</t>
        </is>
      </c>
      <c r="B22" t="inlineStr">
        <is>
          <t>o</t>
        </is>
      </c>
      <c r="C22" t="inlineStr">
        <is>
          <t>o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inlineStr">
        <is>
          <t>o</t>
        </is>
      </c>
      <c r="H22" t="inlineStr">
        <is>
          <t>o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</row>
    <row r="23">
      <c r="A23" t="inlineStr">
        <is>
          <t>15</t>
        </is>
      </c>
      <c r="B23" t="inlineStr">
        <is>
          <t>k</t>
        </is>
      </c>
      <c r="C23" t="inlineStr">
        <is>
          <t>k</t>
        </is>
      </c>
      <c r="D23" t="inlineStr">
        <is>
          <t>k</t>
        </is>
      </c>
      <c r="E23" t="inlineStr">
        <is>
          <t>k</t>
        </is>
      </c>
      <c r="F23" t="inlineStr">
        <is>
          <t>k</t>
        </is>
      </c>
      <c r="G23" t="inlineStr">
        <is>
          <t>k</t>
        </is>
      </c>
      <c r="H23" t="inlineStr">
        <is>
          <t>k</t>
        </is>
      </c>
      <c r="I23" t="inlineStr">
        <is>
          <t>k</t>
        </is>
      </c>
      <c r="J23" t="inlineStr">
        <is>
          <t>k</t>
        </is>
      </c>
      <c r="K23" t="inlineStr">
        <is>
          <t>o</t>
        </is>
      </c>
    </row>
    <row r="24">
      <c r="A24" t="inlineStr">
        <is>
          <t>16</t>
        </is>
      </c>
      <c r="B24" t="inlineStr">
        <is>
          <t>K</t>
        </is>
      </c>
      <c r="C24" t="inlineStr">
        <is>
          <t>K</t>
        </is>
      </c>
      <c r="D24" t="inlineStr">
        <is>
          <t>K</t>
        </is>
      </c>
      <c r="E24" t="inlineStr">
        <is>
          <t>K</t>
        </is>
      </c>
      <c r="F24" t="inlineStr">
        <is>
          <t>K</t>
        </is>
      </c>
      <c r="G24" t="inlineStr">
        <is>
          <t>clear</t>
        </is>
      </c>
      <c r="H24" t="inlineStr">
        <is>
          <t>K</t>
        </is>
      </c>
      <c r="I24" t="inlineStr">
        <is>
          <t>K</t>
        </is>
      </c>
      <c r="J24" t="inlineStr">
        <is>
          <t>K</t>
        </is>
      </c>
      <c r="K24" t="inlineStr">
        <is>
          <t>o</t>
        </is>
      </c>
    </row>
    <row r="25">
      <c r="A25" t="inlineStr">
        <is>
          <t>17</t>
        </is>
      </c>
      <c r="B25" t="inlineStr">
        <is>
          <t>g</t>
        </is>
      </c>
      <c r="C25" t="inlineStr">
        <is>
          <t>g</t>
        </is>
      </c>
      <c r="D25" t="inlineStr">
        <is>
          <t>g</t>
        </is>
      </c>
      <c r="E25" t="inlineStr">
        <is>
          <t>g</t>
        </is>
      </c>
      <c r="F25" t="inlineStr">
        <is>
          <t>g</t>
        </is>
      </c>
      <c r="G25" t="inlineStr">
        <is>
          <t>clear</t>
        </is>
      </c>
      <c r="H25" t="inlineStr">
        <is>
          <t>g</t>
        </is>
      </c>
      <c r="I25" t="inlineStr">
        <is>
          <t>g</t>
        </is>
      </c>
      <c r="J25" t="inlineStr">
        <is>
          <t>g</t>
        </is>
      </c>
      <c r="K25" t="inlineStr">
        <is>
          <t>clear</t>
        </is>
      </c>
    </row>
    <row r="26">
      <c r="A26" t="inlineStr">
        <is>
          <t>18</t>
        </is>
      </c>
      <c r="B26" t="inlineStr">
        <is>
          <t>G</t>
        </is>
      </c>
      <c r="C26" t="inlineStr">
        <is>
          <t>G</t>
        </is>
      </c>
      <c r="D26" t="inlineStr">
        <is>
          <t>G</t>
        </is>
      </c>
      <c r="E26" t="inlineStr">
        <is>
          <t>G</t>
        </is>
      </c>
      <c r="F26" t="inlineStr">
        <is>
          <t>G</t>
        </is>
      </c>
      <c r="G26" t="inlineStr">
        <is>
          <t>clear</t>
        </is>
      </c>
      <c r="H26" t="inlineStr">
        <is>
          <t>G</t>
        </is>
      </c>
      <c r="I26" t="inlineStr">
        <is>
          <t>G</t>
        </is>
      </c>
      <c r="J26" t="inlineStr">
        <is>
          <t>G</t>
        </is>
      </c>
      <c r="K26" t="inlineStr">
        <is>
          <t>clear</t>
        </is>
      </c>
    </row>
    <row r="27">
      <c r="A27" t="inlineStr">
        <is>
          <t>19</t>
        </is>
      </c>
      <c r="B27" t="inlineStr">
        <is>
          <t>clear</t>
        </is>
      </c>
      <c r="C27" t="inlineStr">
        <is>
          <t>clear</t>
        </is>
      </c>
      <c r="D27" t="inlineStr">
        <is>
          <t>clear</t>
        </is>
      </c>
      <c r="E27" t="inlineStr">
        <is>
          <t>clear</t>
        </is>
      </c>
      <c r="F27" t="inlineStr">
        <is>
          <t>clear</t>
        </is>
      </c>
      <c r="G27" t="inlineStr">
        <is>
          <t>clear</t>
        </is>
      </c>
      <c r="H27" t="inlineStr">
        <is>
          <t>clear</t>
        </is>
      </c>
      <c r="I27" t="inlineStr">
        <is>
          <t>clear</t>
        </is>
      </c>
      <c r="J27" t="inlineStr">
        <is>
          <t>clear</t>
        </is>
      </c>
      <c r="K27" t="inlineStr">
        <is>
          <t>clear</t>
        </is>
      </c>
    </row>
    <row r="28">
      <c r="A28" t="inlineStr">
        <is>
          <t>1A</t>
        </is>
      </c>
      <c r="B28" t="inlineStr">
        <is>
          <t>c</t>
        </is>
      </c>
      <c r="C28" t="inlineStr">
        <is>
          <t>c</t>
        </is>
      </c>
      <c r="D28" t="inlineStr">
        <is>
          <t>c</t>
        </is>
      </c>
      <c r="E28" t="inlineStr">
        <is>
          <t>c</t>
        </is>
      </c>
      <c r="F28" t="inlineStr">
        <is>
          <t>c</t>
        </is>
      </c>
      <c r="G28" t="inlineStr">
        <is>
          <t>c</t>
        </is>
      </c>
      <c r="H28" t="inlineStr">
        <is>
          <t>c</t>
        </is>
      </c>
      <c r="I28" t="inlineStr">
        <is>
          <t>c</t>
        </is>
      </c>
      <c r="J28" t="inlineStr">
        <is>
          <t>c</t>
        </is>
      </c>
      <c r="K28" t="inlineStr">
        <is>
          <t>k</t>
        </is>
      </c>
    </row>
    <row r="29">
      <c r="A29" t="inlineStr">
        <is>
          <t>1B</t>
        </is>
      </c>
      <c r="B29" t="inlineStr">
        <is>
          <t>C</t>
        </is>
      </c>
      <c r="C29" t="inlineStr">
        <is>
          <t>C</t>
        </is>
      </c>
      <c r="D29" t="inlineStr">
        <is>
          <t>C</t>
        </is>
      </c>
      <c r="E29" t="inlineStr">
        <is>
          <t>C</t>
        </is>
      </c>
      <c r="F29" t="inlineStr">
        <is>
          <t>C</t>
        </is>
      </c>
      <c r="G29" t="inlineStr">
        <is>
          <t>clear</t>
        </is>
      </c>
      <c r="H29" t="inlineStr">
        <is>
          <t>C</t>
        </is>
      </c>
      <c r="I29" t="inlineStr">
        <is>
          <t>C</t>
        </is>
      </c>
      <c r="J29" t="inlineStr">
        <is>
          <t>C</t>
        </is>
      </c>
      <c r="K29" t="inlineStr">
        <is>
          <t>K</t>
        </is>
      </c>
    </row>
    <row r="30">
      <c r="A30" t="inlineStr">
        <is>
          <t>1C</t>
        </is>
      </c>
      <c r="B30" t="inlineStr">
        <is>
          <t>z</t>
        </is>
      </c>
      <c r="C30" t="inlineStr">
        <is>
          <t>z</t>
        </is>
      </c>
      <c r="D30" t="inlineStr">
        <is>
          <t>z</t>
        </is>
      </c>
      <c r="E30" t="inlineStr">
        <is>
          <t>z</t>
        </is>
      </c>
      <c r="F30" t="inlineStr">
        <is>
          <t>z</t>
        </is>
      </c>
      <c r="G30" t="inlineStr">
        <is>
          <t>z</t>
        </is>
      </c>
      <c r="H30" t="inlineStr">
        <is>
          <t>z</t>
        </is>
      </c>
      <c r="I30" t="inlineStr">
        <is>
          <t>z</t>
        </is>
      </c>
      <c r="J30" t="inlineStr">
        <is>
          <t>z</t>
        </is>
      </c>
      <c r="K30" t="inlineStr">
        <is>
          <t>g</t>
        </is>
      </c>
    </row>
    <row r="31">
      <c r="A31" t="inlineStr">
        <is>
          <t>1D</t>
        </is>
      </c>
      <c r="B31" t="inlineStr">
        <is>
          <t>Z</t>
        </is>
      </c>
      <c r="C31" t="inlineStr">
        <is>
          <t>Z</t>
        </is>
      </c>
      <c r="D31" t="inlineStr">
        <is>
          <t>Z</t>
        </is>
      </c>
      <c r="E31" t="inlineStr">
        <is>
          <t>Z</t>
        </is>
      </c>
      <c r="F31" t="inlineStr">
        <is>
          <t>Z</t>
        </is>
      </c>
      <c r="G31" t="inlineStr">
        <is>
          <t>clear</t>
        </is>
      </c>
      <c r="H31" t="inlineStr">
        <is>
          <t>Z</t>
        </is>
      </c>
      <c r="I31" t="inlineStr">
        <is>
          <t>Z</t>
        </is>
      </c>
      <c r="J31" t="inlineStr">
        <is>
          <t>Z</t>
        </is>
      </c>
      <c r="K31" t="inlineStr">
        <is>
          <t>G</t>
        </is>
      </c>
    </row>
    <row r="32">
      <c r="A32" t="inlineStr">
        <is>
          <t>1E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clear</t>
        </is>
      </c>
      <c r="K32" t="inlineStr">
        <is>
          <t>clear</t>
        </is>
      </c>
    </row>
    <row r="33">
      <c r="A33" t="inlineStr">
        <is>
          <t>1F</t>
        </is>
      </c>
      <c r="B33" t="inlineStr">
        <is>
          <t>t</t>
        </is>
      </c>
      <c r="C33" t="inlineStr">
        <is>
          <t>t</t>
        </is>
      </c>
      <c r="D33" t="inlineStr">
        <is>
          <t>t</t>
        </is>
      </c>
      <c r="E33" t="inlineStr">
        <is>
          <t>t</t>
        </is>
      </c>
      <c r="F33" t="inlineStr">
        <is>
          <t>t</t>
        </is>
      </c>
      <c r="G33" t="inlineStr">
        <is>
          <t>t</t>
        </is>
      </c>
      <c r="H33" t="inlineStr">
        <is>
          <t>t</t>
        </is>
      </c>
      <c r="I33" t="inlineStr">
        <is>
          <t>t</t>
        </is>
      </c>
      <c r="J33" t="inlineStr">
        <is>
          <t>T</t>
        </is>
      </c>
      <c r="K33" t="inlineStr">
        <is>
          <t>clear</t>
        </is>
      </c>
    </row>
    <row r="34">
      <c r="A34" t="inlineStr">
        <is>
          <t>20</t>
        </is>
      </c>
      <c r="B34" t="inlineStr">
        <is>
          <t>J</t>
        </is>
      </c>
      <c r="C34" t="inlineStr">
        <is>
          <t>J</t>
        </is>
      </c>
      <c r="D34" t="inlineStr">
        <is>
          <t>J</t>
        </is>
      </c>
      <c r="E34" t="inlineStr">
        <is>
          <t>J</t>
        </is>
      </c>
      <c r="F34" t="inlineStr">
        <is>
          <t>J</t>
        </is>
      </c>
      <c r="G34" t="inlineStr">
        <is>
          <t>clear</t>
        </is>
      </c>
      <c r="H34" t="inlineStr">
        <is>
          <t>J</t>
        </is>
      </c>
      <c r="I34" t="inlineStr">
        <is>
          <t>J</t>
        </is>
      </c>
      <c r="J34" t="inlineStr">
        <is>
          <t>t</t>
        </is>
      </c>
      <c r="K34" t="inlineStr">
        <is>
          <t>c</t>
        </is>
      </c>
    </row>
    <row r="35">
      <c r="A35" t="inlineStr">
        <is>
          <t>21</t>
        </is>
      </c>
      <c r="B35" t="inlineStr">
        <is>
          <t>d</t>
        </is>
      </c>
      <c r="C35" t="inlineStr">
        <is>
          <t>d</t>
        </is>
      </c>
      <c r="D35" t="inlineStr">
        <is>
          <t>d</t>
        </is>
      </c>
      <c r="E35" t="inlineStr">
        <is>
          <t>d</t>
        </is>
      </c>
      <c r="F35" t="inlineStr">
        <is>
          <t>d</t>
        </is>
      </c>
      <c r="G35" t="inlineStr">
        <is>
          <t>clear</t>
        </is>
      </c>
      <c r="H35" t="inlineStr">
        <is>
          <t>d</t>
        </is>
      </c>
      <c r="I35" t="inlineStr">
        <is>
          <t>d</t>
        </is>
      </c>
      <c r="J35" t="inlineStr">
        <is>
          <t>D</t>
        </is>
      </c>
      <c r="K35" t="inlineStr">
        <is>
          <t>C</t>
        </is>
      </c>
    </row>
    <row r="36">
      <c r="A36" t="inlineStr">
        <is>
          <t>22</t>
        </is>
      </c>
      <c r="B36" t="inlineStr">
        <is>
          <t>Q</t>
        </is>
      </c>
      <c r="C36" t="inlineStr">
        <is>
          <t>Q</t>
        </is>
      </c>
      <c r="D36" t="inlineStr">
        <is>
          <t>Q</t>
        </is>
      </c>
      <c r="E36" t="inlineStr">
        <is>
          <t>Q</t>
        </is>
      </c>
      <c r="F36" t="inlineStr">
        <is>
          <t>Q</t>
        </is>
      </c>
      <c r="G36" t="inlineStr">
        <is>
          <t>clear</t>
        </is>
      </c>
      <c r="H36" t="inlineStr">
        <is>
          <t>Q</t>
        </is>
      </c>
      <c r="I36" t="inlineStr">
        <is>
          <t>Q</t>
        </is>
      </c>
      <c r="J36" t="inlineStr">
        <is>
          <t>d</t>
        </is>
      </c>
      <c r="K36" t="inlineStr">
        <is>
          <t>z</t>
        </is>
      </c>
    </row>
    <row r="37">
      <c r="A37" t="inlineStr">
        <is>
          <t>23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Z</t>
        </is>
      </c>
    </row>
    <row r="38">
      <c r="A38" t="inlineStr">
        <is>
          <t>24</t>
        </is>
      </c>
      <c r="B38" t="inlineStr">
        <is>
          <t>T</t>
        </is>
      </c>
      <c r="C38" t="inlineStr">
        <is>
          <t>T</t>
        </is>
      </c>
      <c r="D38" t="inlineStr">
        <is>
          <t>T</t>
        </is>
      </c>
      <c r="E38" t="inlineStr">
        <is>
          <t>T</t>
        </is>
      </c>
      <c r="F38" t="inlineStr">
        <is>
          <t>T</t>
        </is>
      </c>
      <c r="G38" t="inlineStr">
        <is>
          <t>T</t>
        </is>
      </c>
      <c r="H38" t="inlineStr">
        <is>
          <t>T</t>
        </is>
      </c>
      <c r="I38" t="inlineStr">
        <is>
          <t>T</t>
        </is>
      </c>
      <c r="J38" t="inlineStr">
        <is>
          <t>j</t>
        </is>
      </c>
      <c r="K38" t="inlineStr">
        <is>
          <t>n</t>
        </is>
      </c>
    </row>
    <row r="39">
      <c r="A39" t="inlineStr">
        <is>
          <t>25</t>
        </is>
      </c>
      <c r="B39" t="inlineStr">
        <is>
          <t>j</t>
        </is>
      </c>
      <c r="C39" t="inlineStr">
        <is>
          <t>j</t>
        </is>
      </c>
      <c r="D39" t="inlineStr">
        <is>
          <t>j</t>
        </is>
      </c>
      <c r="E39" t="inlineStr">
        <is>
          <t>j</t>
        </is>
      </c>
      <c r="F39" t="inlineStr">
        <is>
          <t>j</t>
        </is>
      </c>
      <c r="G39" t="inlineStr">
        <is>
          <t>clear</t>
        </is>
      </c>
      <c r="H39" t="inlineStr">
        <is>
          <t>j</t>
        </is>
      </c>
      <c r="I39" t="inlineStr">
        <is>
          <t>j</t>
        </is>
      </c>
      <c r="J39" t="inlineStr">
        <is>
          <t>J</t>
        </is>
      </c>
      <c r="K39" t="inlineStr">
        <is>
          <t>clear</t>
        </is>
      </c>
    </row>
    <row r="40">
      <c r="A40" t="inlineStr">
        <is>
          <t>26</t>
        </is>
      </c>
      <c r="B40" t="inlineStr">
        <is>
          <t>D</t>
        </is>
      </c>
      <c r="C40" t="inlineStr">
        <is>
          <t>D</t>
        </is>
      </c>
      <c r="D40" t="inlineStr">
        <is>
          <t>D</t>
        </is>
      </c>
      <c r="E40" t="inlineStr">
        <is>
          <t>D</t>
        </is>
      </c>
      <c r="F40" t="inlineStr">
        <is>
          <t>D</t>
        </is>
      </c>
      <c r="G40" t="inlineStr">
        <is>
          <t>clear</t>
        </is>
      </c>
      <c r="H40" t="inlineStr">
        <is>
          <t>D</t>
        </is>
      </c>
      <c r="I40" t="inlineStr">
        <is>
          <t>D</t>
        </is>
      </c>
      <c r="J40" t="inlineStr">
        <is>
          <t>D</t>
        </is>
      </c>
      <c r="K40" t="inlineStr">
        <is>
          <t>clear</t>
        </is>
      </c>
    </row>
    <row r="41">
      <c r="A41" t="inlineStr">
        <is>
          <t>27</t>
        </is>
      </c>
      <c r="B41" t="inlineStr">
        <is>
          <t>q</t>
        </is>
      </c>
      <c r="C41" t="inlineStr">
        <is>
          <t>q</t>
        </is>
      </c>
      <c r="D41" t="inlineStr">
        <is>
          <t>q</t>
        </is>
      </c>
      <c r="E41" t="inlineStr">
        <is>
          <t>q</t>
        </is>
      </c>
      <c r="F41" t="inlineStr">
        <is>
          <t>q</t>
        </is>
      </c>
      <c r="G41" t="inlineStr">
        <is>
          <t>clear</t>
        </is>
      </c>
      <c r="H41" t="inlineStr">
        <is>
          <t>q</t>
        </is>
      </c>
      <c r="I41" t="inlineStr">
        <is>
          <t>q</t>
        </is>
      </c>
      <c r="J41" t="inlineStr">
        <is>
          <t>d</t>
        </is>
      </c>
      <c r="K41" t="inlineStr">
        <is>
          <t>t</t>
        </is>
      </c>
    </row>
    <row r="42">
      <c r="A42" t="inlineStr">
        <is>
          <t>28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J</t>
        </is>
      </c>
    </row>
    <row r="43">
      <c r="A43" t="inlineStr">
        <is>
          <t>29</t>
        </is>
      </c>
      <c r="B43" t="inlineStr">
        <is>
          <t>n</t>
        </is>
      </c>
      <c r="C43" t="inlineStr">
        <is>
          <t>clear</t>
        </is>
      </c>
      <c r="D43" t="inlineStr">
        <is>
          <t>clear</t>
        </is>
      </c>
      <c r="E43" t="inlineStr">
        <is>
          <t>clear</t>
        </is>
      </c>
      <c r="F43" t="inlineStr">
        <is>
          <t>clear</t>
        </is>
      </c>
      <c r="G43" t="inlineStr">
        <is>
          <t>n</t>
        </is>
      </c>
      <c r="H43" t="inlineStr">
        <is>
          <t>clear</t>
        </is>
      </c>
      <c r="I43" t="inlineStr">
        <is>
          <t>clear</t>
        </is>
      </c>
      <c r="J43" t="inlineStr">
        <is>
          <t>n</t>
        </is>
      </c>
      <c r="K43" t="inlineStr">
        <is>
          <t>d</t>
        </is>
      </c>
    </row>
    <row r="44">
      <c r="A44" t="inlineStr">
        <is>
          <t>2A</t>
        </is>
      </c>
      <c r="B44" t="inlineStr">
        <is>
          <t>p</t>
        </is>
      </c>
      <c r="C44" t="inlineStr">
        <is>
          <t>p</t>
        </is>
      </c>
      <c r="D44" t="inlineStr">
        <is>
          <t>p</t>
        </is>
      </c>
      <c r="E44" t="inlineStr">
        <is>
          <t>p</t>
        </is>
      </c>
      <c r="F44" t="inlineStr">
        <is>
          <t>p</t>
        </is>
      </c>
      <c r="G44" t="inlineStr">
        <is>
          <t>m</t>
        </is>
      </c>
      <c r="H44" t="inlineStr">
        <is>
          <t>p</t>
        </is>
      </c>
      <c r="I44" t="inlineStr">
        <is>
          <t>p</t>
        </is>
      </c>
      <c r="J44" t="inlineStr">
        <is>
          <t>p</t>
        </is>
      </c>
      <c r="K44" t="inlineStr">
        <is>
          <t>Q</t>
        </is>
      </c>
    </row>
    <row r="45">
      <c r="A45" t="inlineStr">
        <is>
          <t>2B</t>
        </is>
      </c>
      <c r="B45" t="inlineStr">
        <is>
          <t>f</t>
        </is>
      </c>
      <c r="C45" t="inlineStr">
        <is>
          <t>f</t>
        </is>
      </c>
      <c r="D45" t="inlineStr">
        <is>
          <t>f</t>
        </is>
      </c>
      <c r="E45" t="inlineStr">
        <is>
          <t>f</t>
        </is>
      </c>
      <c r="F45" t="inlineStr">
        <is>
          <t>f</t>
        </is>
      </c>
      <c r="G45" t="inlineStr">
        <is>
          <t>clear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  <c r="K45" t="inlineStr">
        <is>
          <t>n</t>
        </is>
      </c>
    </row>
    <row r="46">
      <c r="A46" t="inlineStr">
        <is>
          <t>2C</t>
        </is>
      </c>
      <c r="B46" t="inlineStr">
        <is>
          <t>b</t>
        </is>
      </c>
      <c r="C46" t="inlineStr">
        <is>
          <t>w</t>
        </is>
      </c>
      <c r="D46" t="inlineStr">
        <is>
          <t>b</t>
        </is>
      </c>
      <c r="E46" t="inlineStr">
        <is>
          <t>b</t>
        </is>
      </c>
      <c r="F46" t="inlineStr">
        <is>
          <t>b</t>
        </is>
      </c>
      <c r="G46" t="inlineStr">
        <is>
          <t>clear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clear</t>
        </is>
      </c>
    </row>
    <row r="47">
      <c r="A47" t="inlineStr">
        <is>
          <t>2D</t>
        </is>
      </c>
      <c r="B47" t="inlineStr">
        <is>
          <t>B</t>
        </is>
      </c>
      <c r="C47" t="inlineStr">
        <is>
          <t>B</t>
        </is>
      </c>
      <c r="D47" t="inlineStr">
        <is>
          <t>B</t>
        </is>
      </c>
      <c r="E47" t="inlineStr">
        <is>
          <t>B</t>
        </is>
      </c>
      <c r="F47" t="inlineStr">
        <is>
          <t>B</t>
        </is>
      </c>
      <c r="G47" t="inlineStr">
        <is>
          <t>clear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T</t>
        </is>
      </c>
    </row>
    <row r="48">
      <c r="A48" t="inlineStr">
        <is>
          <t>2E</t>
        </is>
      </c>
      <c r="B48" t="inlineStr">
        <is>
          <t>m</t>
        </is>
      </c>
      <c r="C48" t="inlineStr">
        <is>
          <t>m</t>
        </is>
      </c>
      <c r="D48" t="inlineStr">
        <is>
          <t>m</t>
        </is>
      </c>
      <c r="E48" t="inlineStr">
        <is>
          <t>m</t>
        </is>
      </c>
      <c r="F48" t="inlineStr">
        <is>
          <t>m</t>
        </is>
      </c>
      <c r="G48" t="inlineStr">
        <is>
          <t>m</t>
        </is>
      </c>
      <c r="H48" t="inlineStr">
        <is>
          <t>m</t>
        </is>
      </c>
      <c r="I48" t="inlineStr">
        <is>
          <t>m</t>
        </is>
      </c>
      <c r="J48" t="inlineStr">
        <is>
          <t>m</t>
        </is>
      </c>
      <c r="K48" t="inlineStr">
        <is>
          <t>j</t>
        </is>
      </c>
    </row>
    <row r="49">
      <c r="A49" t="inlineStr">
        <is>
          <t>2F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z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  <c r="J49" t="inlineStr">
        <is>
          <t>y</t>
        </is>
      </c>
      <c r="K49" t="inlineStr">
        <is>
          <t>D</t>
        </is>
      </c>
    </row>
    <row r="50">
      <c r="A50" t="inlineStr">
        <is>
          <t>30</t>
        </is>
      </c>
      <c r="B50" t="inlineStr">
        <is>
          <t>r</t>
        </is>
      </c>
      <c r="C50" t="inlineStr">
        <is>
          <t>r</t>
        </is>
      </c>
      <c r="D50" t="inlineStr">
        <is>
          <t>r</t>
        </is>
      </c>
      <c r="E50" t="inlineStr">
        <is>
          <t>r</t>
        </is>
      </c>
      <c r="F50" t="inlineStr">
        <is>
          <t>r</t>
        </is>
      </c>
      <c r="G50" t="inlineStr">
        <is>
          <t>r</t>
        </is>
      </c>
      <c r="H50" t="inlineStr">
        <is>
          <t>r</t>
        </is>
      </c>
      <c r="I50" t="inlineStr">
        <is>
          <t>r</t>
        </is>
      </c>
      <c r="J50" t="inlineStr">
        <is>
          <t>r</t>
        </is>
      </c>
      <c r="K50" t="inlineStr">
        <is>
          <t>q</t>
        </is>
      </c>
    </row>
    <row r="51">
      <c r="A51" t="inlineStr">
        <is>
          <t>31</t>
        </is>
      </c>
      <c r="B51" t="inlineStr">
        <is>
          <t>R</t>
        </is>
      </c>
      <c r="C51" t="inlineStr">
        <is>
          <t>clear</t>
        </is>
      </c>
      <c r="D51" t="inlineStr">
        <is>
          <t>clear</t>
        </is>
      </c>
      <c r="E51" t="inlineStr">
        <is>
          <t>clear</t>
        </is>
      </c>
      <c r="F51" t="inlineStr">
        <is>
          <t>clear</t>
        </is>
      </c>
      <c r="G51" t="inlineStr">
        <is>
          <t>R</t>
        </is>
      </c>
      <c r="H51" t="inlineStr">
        <is>
          <t>R</t>
        </is>
      </c>
      <c r="I51" t="inlineStr">
        <is>
          <t>R</t>
        </is>
      </c>
      <c r="J51" t="inlineStr">
        <is>
          <t>R</t>
        </is>
      </c>
      <c r="K51" t="inlineStr">
        <is>
          <t>n</t>
        </is>
      </c>
    </row>
    <row r="52">
      <c r="A52" t="inlineStr">
        <is>
          <t>32</t>
        </is>
      </c>
      <c r="B52" t="inlineStr">
        <is>
          <t>l</t>
        </is>
      </c>
      <c r="C52" t="inlineStr">
        <is>
          <t>l</t>
        </is>
      </c>
      <c r="D52" t="inlineStr">
        <is>
          <t>l</t>
        </is>
      </c>
      <c r="E52" t="inlineStr">
        <is>
          <t>l</t>
        </is>
      </c>
      <c r="F52" t="inlineStr">
        <is>
          <t>l</t>
        </is>
      </c>
      <c r="G52" t="inlineStr">
        <is>
          <t>l</t>
        </is>
      </c>
      <c r="H52" t="inlineStr">
        <is>
          <t>l</t>
        </is>
      </c>
      <c r="I52" t="inlineStr">
        <is>
          <t>l</t>
        </is>
      </c>
      <c r="J52" t="inlineStr">
        <is>
          <t>l</t>
        </is>
      </c>
      <c r="K52" t="inlineStr">
        <is>
          <t>clear</t>
        </is>
      </c>
    </row>
    <row r="53">
      <c r="A53" t="inlineStr">
        <is>
          <t>33</t>
        </is>
      </c>
      <c r="B53" t="inlineStr">
        <is>
          <t>l</t>
        </is>
      </c>
      <c r="C53" t="inlineStr">
        <is>
          <t>clear</t>
        </is>
      </c>
      <c r="D53" t="inlineStr">
        <is>
          <t>l</t>
        </is>
      </c>
      <c r="E53" t="inlineStr">
        <is>
          <t>l</t>
        </is>
      </c>
      <c r="F53" t="inlineStr">
        <is>
          <t>l</t>
        </is>
      </c>
      <c r="G53" t="inlineStr">
        <is>
          <t>l</t>
        </is>
      </c>
      <c r="H53" t="inlineStr">
        <is>
          <t>l</t>
        </is>
      </c>
      <c r="I53" t="inlineStr">
        <is>
          <t>l</t>
        </is>
      </c>
      <c r="J53" t="inlineStr">
        <is>
          <t>l</t>
        </is>
      </c>
      <c r="K53" t="inlineStr">
        <is>
          <t>clear</t>
        </is>
      </c>
    </row>
    <row r="54">
      <c r="A54" t="inlineStr">
        <is>
          <t>34</t>
        </is>
      </c>
      <c r="B54" t="inlineStr">
        <is>
          <t>l</t>
        </is>
      </c>
      <c r="C54" t="inlineStr">
        <is>
          <t>clear</t>
        </is>
      </c>
      <c r="D54" t="inlineStr">
        <is>
          <t>clear</t>
        </is>
      </c>
      <c r="E54" t="inlineStr">
        <is>
          <t>clear</t>
        </is>
      </c>
      <c r="F54" t="inlineStr">
        <is>
          <t>clear</t>
        </is>
      </c>
      <c r="G54" t="inlineStr">
        <is>
          <t>l</t>
        </is>
      </c>
      <c r="H54" t="inlineStr">
        <is>
          <t>l</t>
        </is>
      </c>
      <c r="I54" t="inlineStr">
        <is>
          <t>clear</t>
        </is>
      </c>
      <c r="J54" t="inlineStr">
        <is>
          <t>z</t>
        </is>
      </c>
      <c r="K54" t="inlineStr">
        <is>
          <t>p</t>
        </is>
      </c>
    </row>
    <row r="55">
      <c r="A55" t="inlineStr">
        <is>
          <t>35</t>
        </is>
      </c>
      <c r="B55" t="inlineStr">
        <is>
          <t>w</t>
        </is>
      </c>
      <c r="C55" t="inlineStr">
        <is>
          <t>clear</t>
        </is>
      </c>
      <c r="D55" t="inlineStr">
        <is>
          <t>w</t>
        </is>
      </c>
      <c r="E55" t="inlineStr">
        <is>
          <t>w</t>
        </is>
      </c>
      <c r="F55" t="inlineStr">
        <is>
          <t>w</t>
        </is>
      </c>
      <c r="G55" t="inlineStr">
        <is>
          <t>w</t>
        </is>
      </c>
      <c r="H55" t="inlineStr">
        <is>
          <t>w</t>
        </is>
      </c>
      <c r="I55" t="inlineStr">
        <is>
          <t>w</t>
        </is>
      </c>
      <c r="J55" t="inlineStr">
        <is>
          <t>w</t>
        </is>
      </c>
      <c r="K55" t="inlineStr">
        <is>
          <t>f</t>
        </is>
      </c>
    </row>
    <row r="56">
      <c r="A56" t="inlineStr">
        <is>
          <t>36</t>
        </is>
      </c>
      <c r="B56" t="inlineStr">
        <is>
          <t>S</t>
        </is>
      </c>
      <c r="C56" t="inlineStr">
        <is>
          <t>S</t>
        </is>
      </c>
      <c r="D56" t="inlineStr">
        <is>
          <t>S</t>
        </is>
      </c>
      <c r="E56" t="inlineStr">
        <is>
          <t>S</t>
        </is>
      </c>
      <c r="F56" t="inlineStr">
        <is>
          <t>S</t>
        </is>
      </c>
      <c r="G56" t="inlineStr">
        <is>
          <t>S</t>
        </is>
      </c>
      <c r="H56" t="inlineStr">
        <is>
          <t>S</t>
        </is>
      </c>
      <c r="I56" t="inlineStr">
        <is>
          <t>S</t>
        </is>
      </c>
      <c r="J56" t="inlineStr">
        <is>
          <t>S</t>
        </is>
      </c>
      <c r="K56" t="inlineStr">
        <is>
          <t>b</t>
        </is>
      </c>
    </row>
    <row r="57">
      <c r="A57" t="inlineStr">
        <is>
          <t>37</t>
        </is>
      </c>
      <c r="B57" t="inlineStr">
        <is>
          <t>s</t>
        </is>
      </c>
      <c r="C57" t="inlineStr">
        <is>
          <t>s</t>
        </is>
      </c>
      <c r="D57" t="inlineStr">
        <is>
          <t>clear</t>
        </is>
      </c>
      <c r="E57" t="inlineStr">
        <is>
          <t>s</t>
        </is>
      </c>
      <c r="F57" t="inlineStr">
        <is>
          <t>s</t>
        </is>
      </c>
      <c r="G57" t="inlineStr">
        <is>
          <t>s</t>
        </is>
      </c>
      <c r="H57" t="inlineStr">
        <is>
          <t>s</t>
        </is>
      </c>
      <c r="I57" t="inlineStr">
        <is>
          <t>s</t>
        </is>
      </c>
      <c r="J57" t="inlineStr">
        <is>
          <t>S</t>
        </is>
      </c>
      <c r="K57" t="inlineStr">
        <is>
          <t>B</t>
        </is>
      </c>
    </row>
    <row r="58">
      <c r="A58" t="inlineStr">
        <is>
          <t>38</t>
        </is>
      </c>
      <c r="B58" t="inlineStr">
        <is>
          <t>s</t>
        </is>
      </c>
      <c r="C58" t="inlineStr">
        <is>
          <t>s</t>
        </is>
      </c>
      <c r="D58" t="inlineStr">
        <is>
          <t>s</t>
        </is>
      </c>
      <c r="E58" t="inlineStr">
        <is>
          <t>s</t>
        </is>
      </c>
      <c r="F58" t="inlineStr">
        <is>
          <t>s</t>
        </is>
      </c>
      <c r="G58" t="inlineStr">
        <is>
          <t>s</t>
        </is>
      </c>
      <c r="H58" t="inlineStr">
        <is>
          <t>s</t>
        </is>
      </c>
      <c r="I58" t="inlineStr">
        <is>
          <t>s</t>
        </is>
      </c>
      <c r="J58" t="inlineStr">
        <is>
          <t>s</t>
        </is>
      </c>
      <c r="K58" t="inlineStr">
        <is>
          <t>m</t>
        </is>
      </c>
    </row>
    <row r="59">
      <c r="A59" t="inlineStr">
        <is>
          <t>39</t>
        </is>
      </c>
      <c r="B59" t="inlineStr">
        <is>
          <t>H</t>
        </is>
      </c>
      <c r="C59" t="inlineStr">
        <is>
          <t>H</t>
        </is>
      </c>
      <c r="D59" t="inlineStr">
        <is>
          <t>H</t>
        </is>
      </c>
      <c r="E59" t="inlineStr">
        <is>
          <t>H</t>
        </is>
      </c>
      <c r="F59" t="inlineStr">
        <is>
          <t>H</t>
        </is>
      </c>
      <c r="G59" t="inlineStr">
        <is>
          <t>H</t>
        </is>
      </c>
      <c r="H59" t="inlineStr">
        <is>
          <t>H</t>
        </is>
      </c>
      <c r="I59" t="inlineStr">
        <is>
          <t>H</t>
        </is>
      </c>
      <c r="J59" t="inlineStr">
        <is>
          <t>H</t>
        </is>
      </c>
      <c r="K59" t="inlineStr">
        <is>
          <t>clear</t>
        </is>
      </c>
    </row>
    <row r="60">
      <c r="A60" t="inlineStr">
        <is>
          <t>3A</t>
        </is>
      </c>
      <c r="B60" t="inlineStr">
        <is>
          <t>clear</t>
        </is>
      </c>
      <c r="C60" t="inlineStr">
        <is>
          <t>clear</t>
        </is>
      </c>
      <c r="D60" t="inlineStr">
        <is>
          <t>clear</t>
        </is>
      </c>
      <c r="E60" t="inlineStr">
        <is>
          <t>clear</t>
        </is>
      </c>
      <c r="F60" t="inlineStr">
        <is>
          <t>clear</t>
        </is>
      </c>
      <c r="G60" t="inlineStr">
        <is>
          <t>clear</t>
        </is>
      </c>
      <c r="H60" t="inlineStr">
        <is>
          <t>clear</t>
        </is>
      </c>
      <c r="I60" t="inlineStr">
        <is>
          <t>clear</t>
        </is>
      </c>
      <c r="J60" t="inlineStr">
        <is>
          <t>clear</t>
        </is>
      </c>
      <c r="K60" t="inlineStr">
        <is>
          <t>y</t>
        </is>
      </c>
    </row>
    <row r="61">
      <c r="A61" t="inlineStr">
        <is>
          <t>3B</t>
        </is>
      </c>
      <c r="B61" t="inlineStr">
        <is>
          <t>clear</t>
        </is>
      </c>
      <c r="C61" t="inlineStr">
        <is>
          <t>clear</t>
        </is>
      </c>
      <c r="D61" t="inlineStr">
        <is>
          <t>clear</t>
        </is>
      </c>
      <c r="E61" t="inlineStr">
        <is>
          <t>clear</t>
        </is>
      </c>
      <c r="F61" t="inlineStr">
        <is>
          <t>clear</t>
        </is>
      </c>
      <c r="G61" t="inlineStr">
        <is>
          <t>clear</t>
        </is>
      </c>
      <c r="H61" t="inlineStr">
        <is>
          <t>clear</t>
        </is>
      </c>
      <c r="I61" t="inlineStr">
        <is>
          <t>clear</t>
        </is>
      </c>
      <c r="J61" t="inlineStr">
        <is>
          <t>clear</t>
        </is>
      </c>
      <c r="K61" t="inlineStr">
        <is>
          <t>r</t>
        </is>
      </c>
    </row>
    <row r="62">
      <c r="A62" t="inlineStr">
        <is>
          <t>3C</t>
        </is>
      </c>
      <c r="B62" t="inlineStr">
        <is>
          <t>clear</t>
        </is>
      </c>
      <c r="C62" t="inlineStr">
        <is>
          <t>clear</t>
        </is>
      </c>
      <c r="D62" t="inlineStr">
        <is>
          <t>clear</t>
        </is>
      </c>
      <c r="E62" t="inlineStr">
        <is>
          <t>clear</t>
        </is>
      </c>
      <c r="F62" t="inlineStr">
        <is>
          <t>clear</t>
        </is>
      </c>
      <c r="G62" t="inlineStr">
        <is>
          <t>clear</t>
        </is>
      </c>
      <c r="H62" t="inlineStr">
        <is>
          <t>clear</t>
        </is>
      </c>
      <c r="I62" t="inlineStr">
        <is>
          <t>clear</t>
        </is>
      </c>
      <c r="J62" t="inlineStr">
        <is>
          <t>clear</t>
        </is>
      </c>
      <c r="K62" t="inlineStr">
        <is>
          <t>clear</t>
        </is>
      </c>
    </row>
    <row r="63">
      <c r="A63" t="inlineStr">
        <is>
          <t>3D</t>
        </is>
      </c>
      <c r="B63" t="inlineStr">
        <is>
          <t>clear</t>
        </is>
      </c>
      <c r="C63" t="inlineStr">
        <is>
          <t>clear</t>
        </is>
      </c>
      <c r="D63" t="inlineStr">
        <is>
          <t>clear</t>
        </is>
      </c>
      <c r="E63" t="inlineStr">
        <is>
          <t>clear</t>
        </is>
      </c>
      <c r="F63" t="inlineStr">
        <is>
          <t>clear</t>
        </is>
      </c>
      <c r="G63" t="inlineStr">
        <is>
          <t>clear</t>
        </is>
      </c>
      <c r="H63" t="inlineStr">
        <is>
          <t>clear</t>
        </is>
      </c>
      <c r="I63" t="inlineStr">
        <is>
          <t>clear</t>
        </is>
      </c>
      <c r="J63" t="inlineStr">
        <is>
          <t>clear</t>
        </is>
      </c>
      <c r="K63" t="inlineStr">
        <is>
          <t>l</t>
        </is>
      </c>
    </row>
    <row r="64">
      <c r="A64" t="inlineStr">
        <is>
          <t>3E</t>
        </is>
      </c>
      <c r="B64" t="inlineStr">
        <is>
          <t>a</t>
        </is>
      </c>
      <c r="C64" t="inlineStr">
        <is>
          <t>a</t>
        </is>
      </c>
      <c r="D64" t="inlineStr">
        <is>
          <t>clear</t>
        </is>
      </c>
      <c r="E64" t="inlineStr">
        <is>
          <t>a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inlineStr">
        <is>
          <t>a</t>
        </is>
      </c>
      <c r="K64" t="inlineStr">
        <is>
          <t>clear</t>
        </is>
      </c>
    </row>
    <row r="65">
      <c r="A65" t="inlineStr">
        <is>
          <t>3F</t>
        </is>
      </c>
      <c r="B65" t="inlineStr">
        <is>
          <t>I</t>
        </is>
      </c>
      <c r="C65" t="inlineStr">
        <is>
          <t>I</t>
        </is>
      </c>
      <c r="D65" t="inlineStr">
        <is>
          <t>clear</t>
        </is>
      </c>
      <c r="E65" t="inlineStr">
        <is>
          <t>I</t>
        </is>
      </c>
      <c r="F65" t="inlineStr">
        <is>
          <t>I</t>
        </is>
      </c>
      <c r="G65" t="inlineStr">
        <is>
          <t>I</t>
        </is>
      </c>
      <c r="H65" t="inlineStr">
        <is>
          <t>I</t>
        </is>
      </c>
      <c r="I65" t="inlineStr">
        <is>
          <t>i</t>
        </is>
      </c>
      <c r="J65" t="inlineStr">
        <is>
          <t>I</t>
        </is>
      </c>
      <c r="K65" t="inlineStr">
        <is>
          <t>clear</t>
        </is>
      </c>
    </row>
    <row r="66">
      <c r="A66" t="inlineStr">
        <is>
          <t>40</t>
        </is>
      </c>
      <c r="B66" t="inlineStr">
        <is>
          <t>I</t>
        </is>
      </c>
      <c r="C66" t="inlineStr">
        <is>
          <t>I</t>
        </is>
      </c>
      <c r="D66" t="inlineStr">
        <is>
          <t>clear</t>
        </is>
      </c>
      <c r="E66" t="inlineStr">
        <is>
          <t>I</t>
        </is>
      </c>
      <c r="F66" t="inlineStr">
        <is>
          <t>I</t>
        </is>
      </c>
      <c r="G66" t="inlineStr">
        <is>
          <t>I</t>
        </is>
      </c>
      <c r="H66" t="inlineStr">
        <is>
          <t>I</t>
        </is>
      </c>
      <c r="I66" t="inlineStr">
        <is>
          <t>i</t>
        </is>
      </c>
      <c r="J66" t="inlineStr">
        <is>
          <t>I</t>
        </is>
      </c>
      <c r="K66" t="inlineStr">
        <is>
          <t>w</t>
        </is>
      </c>
    </row>
    <row r="67">
      <c r="A67" t="inlineStr">
        <is>
          <t>41</t>
        </is>
      </c>
      <c r="B67" t="inlineStr">
        <is>
          <t>U</t>
        </is>
      </c>
      <c r="C67" t="inlineStr">
        <is>
          <t>U</t>
        </is>
      </c>
      <c r="D67" t="inlineStr">
        <is>
          <t>clear</t>
        </is>
      </c>
      <c r="E67" t="inlineStr">
        <is>
          <t>U</t>
        </is>
      </c>
      <c r="F67" t="inlineStr">
        <is>
          <t>U</t>
        </is>
      </c>
      <c r="G67" t="inlineStr">
        <is>
          <t>U</t>
        </is>
      </c>
      <c r="H67" t="inlineStr">
        <is>
          <t>U</t>
        </is>
      </c>
      <c r="I67" t="inlineStr">
        <is>
          <t>u</t>
        </is>
      </c>
      <c r="J67" t="inlineStr">
        <is>
          <t>U</t>
        </is>
      </c>
      <c r="K67" t="inlineStr">
        <is>
          <t>S</t>
        </is>
      </c>
    </row>
    <row r="68">
      <c r="A68" t="inlineStr">
        <is>
          <t>42</t>
        </is>
      </c>
      <c r="B68" t="inlineStr">
        <is>
          <t>U</t>
        </is>
      </c>
      <c r="C68" t="inlineStr">
        <is>
          <t>U</t>
        </is>
      </c>
      <c r="D68" t="inlineStr">
        <is>
          <t>clear</t>
        </is>
      </c>
      <c r="E68" t="inlineStr">
        <is>
          <t>U</t>
        </is>
      </c>
      <c r="F68" t="inlineStr">
        <is>
          <t>U</t>
        </is>
      </c>
      <c r="G68" t="inlineStr">
        <is>
          <t>U</t>
        </is>
      </c>
      <c r="H68" t="inlineStr">
        <is>
          <t>U</t>
        </is>
      </c>
      <c r="I68" t="inlineStr">
        <is>
          <t>u</t>
        </is>
      </c>
      <c r="J68" t="inlineStr">
        <is>
          <t>U</t>
        </is>
      </c>
      <c r="K68" t="inlineStr">
        <is>
          <t>s</t>
        </is>
      </c>
    </row>
    <row r="69">
      <c r="A69" t="inlineStr">
        <is>
          <t>43</t>
        </is>
      </c>
      <c r="B69" t="inlineStr">
        <is>
          <t>R</t>
        </is>
      </c>
      <c r="C69" t="inlineStr">
        <is>
          <t>R</t>
        </is>
      </c>
      <c r="D69" t="inlineStr">
        <is>
          <t>clear</t>
        </is>
      </c>
      <c r="E69" t="inlineStr">
        <is>
          <t>R</t>
        </is>
      </c>
      <c r="F69" t="inlineStr">
        <is>
          <t>R</t>
        </is>
      </c>
      <c r="G69" t="inlineStr">
        <is>
          <t>clear</t>
        </is>
      </c>
      <c r="H69" t="inlineStr">
        <is>
          <t>R</t>
        </is>
      </c>
      <c r="I69" t="inlineStr">
        <is>
          <t>clear</t>
        </is>
      </c>
      <c r="J69" t="inlineStr">
        <is>
          <t>R</t>
        </is>
      </c>
      <c r="K69" t="inlineStr">
        <is>
          <t>s</t>
        </is>
      </c>
    </row>
    <row r="70">
      <c r="A70" t="inlineStr">
        <is>
          <t>44</t>
        </is>
      </c>
      <c r="B70" t="inlineStr">
        <is>
          <t>R</t>
        </is>
      </c>
      <c r="C70" t="inlineStr">
        <is>
          <t>R</t>
        </is>
      </c>
      <c r="D70" t="inlineStr">
        <is>
          <t>clear</t>
        </is>
      </c>
      <c r="E70" t="inlineStr">
        <is>
          <t>R</t>
        </is>
      </c>
      <c r="F70" t="inlineStr">
        <is>
          <t>R</t>
        </is>
      </c>
      <c r="G70" t="inlineStr">
        <is>
          <t>clear</t>
        </is>
      </c>
      <c r="H70" t="inlineStr">
        <is>
          <t>R</t>
        </is>
      </c>
      <c r="I70" t="inlineStr">
        <is>
          <t>clear</t>
        </is>
      </c>
      <c r="J70" t="inlineStr">
        <is>
          <t>R</t>
        </is>
      </c>
      <c r="K70" t="inlineStr">
        <is>
          <t>H</t>
        </is>
      </c>
    </row>
    <row r="71">
      <c r="A71" t="inlineStr">
        <is>
          <t>45</t>
        </is>
      </c>
      <c r="B71" t="inlineStr">
        <is>
          <t>c</t>
        </is>
      </c>
      <c r="C71" t="inlineStr">
        <is>
          <t>clear</t>
        </is>
      </c>
      <c r="D71" t="inlineStr">
        <is>
          <t>clear</t>
        </is>
      </c>
      <c r="E71" t="inlineStr">
        <is>
          <t>clear</t>
        </is>
      </c>
      <c r="F71" t="inlineStr">
        <is>
          <t>clear</t>
        </is>
      </c>
      <c r="G71" t="inlineStr">
        <is>
          <t>clear</t>
        </is>
      </c>
      <c r="H71" t="inlineStr">
        <is>
          <t>clear</t>
        </is>
      </c>
      <c r="I71" t="inlineStr">
        <is>
          <t>clear</t>
        </is>
      </c>
      <c r="J71" t="inlineStr">
        <is>
          <t>clear</t>
        </is>
      </c>
      <c r="K71" t="inlineStr">
        <is>
          <t>l</t>
        </is>
      </c>
    </row>
    <row r="72">
      <c r="A72" t="inlineStr">
        <is>
          <t>46</t>
        </is>
      </c>
      <c r="B72" t="inlineStr">
        <is>
          <t>clear</t>
        </is>
      </c>
      <c r="C72" t="inlineStr">
        <is>
          <t>clear</t>
        </is>
      </c>
      <c r="D72" t="inlineStr">
        <is>
          <t>clear</t>
        </is>
      </c>
      <c r="E72" t="inlineStr">
        <is>
          <t>clear</t>
        </is>
      </c>
      <c r="F72" t="inlineStr">
        <is>
          <t>clear</t>
        </is>
      </c>
      <c r="G72" t="inlineStr">
        <is>
          <t>E</t>
        </is>
      </c>
      <c r="H72" t="inlineStr">
        <is>
          <t>E</t>
        </is>
      </c>
      <c r="I72" t="inlineStr">
        <is>
          <t>e</t>
        </is>
      </c>
      <c r="J72" t="inlineStr">
        <is>
          <t>E</t>
        </is>
      </c>
      <c r="K72" t="inlineStr">
        <is>
          <t>f</t>
        </is>
      </c>
    </row>
    <row r="73">
      <c r="A73" t="inlineStr">
        <is>
          <t>47</t>
        </is>
      </c>
      <c r="B73" t="inlineStr">
        <is>
          <t>E</t>
        </is>
      </c>
      <c r="C73" t="inlineStr">
        <is>
          <t>E</t>
        </is>
      </c>
      <c r="D73" t="inlineStr">
        <is>
          <t>clear</t>
        </is>
      </c>
      <c r="E73" t="inlineStr">
        <is>
          <t>E</t>
        </is>
      </c>
      <c r="F73" t="inlineStr">
        <is>
          <t>E</t>
        </is>
      </c>
      <c r="G73" t="inlineStr">
        <is>
          <t>E</t>
        </is>
      </c>
      <c r="H73" t="inlineStr">
        <is>
          <t>E</t>
        </is>
      </c>
      <c r="I73" t="inlineStr">
        <is>
          <t>e</t>
        </is>
      </c>
      <c r="J73" t="inlineStr">
        <is>
          <t>E</t>
        </is>
      </c>
      <c r="K73" t="inlineStr">
        <is>
          <t>clear</t>
        </is>
      </c>
    </row>
    <row r="74">
      <c r="A74" t="inlineStr">
        <is>
          <t>48</t>
        </is>
      </c>
      <c r="B74" t="inlineStr">
        <is>
          <t>e</t>
        </is>
      </c>
      <c r="C74" t="inlineStr">
        <is>
          <t>e</t>
        </is>
      </c>
      <c r="D74" t="inlineStr">
        <is>
          <t>clear</t>
        </is>
      </c>
      <c r="E74" t="inlineStr">
        <is>
          <t>e</t>
        </is>
      </c>
      <c r="F74" t="inlineStr">
        <is>
          <t>e</t>
        </is>
      </c>
      <c r="G74" t="inlineStr">
        <is>
          <t>e</t>
        </is>
      </c>
      <c r="H74" t="inlineStr">
        <is>
          <t>e</t>
        </is>
      </c>
      <c r="I74" t="inlineStr">
        <is>
          <t>e</t>
        </is>
      </c>
      <c r="J74" t="inlineStr">
        <is>
          <t>e</t>
        </is>
      </c>
      <c r="K74" t="inlineStr">
        <is>
          <t>clear</t>
        </is>
      </c>
    </row>
    <row r="75">
      <c r="A75" t="inlineStr">
        <is>
          <t>49</t>
        </is>
      </c>
      <c r="B75" t="inlineStr">
        <is>
          <t>clear</t>
        </is>
      </c>
      <c r="C75" t="inlineStr">
        <is>
          <t>clear</t>
        </is>
      </c>
      <c r="D75" t="inlineStr">
        <is>
          <t>clear</t>
        </is>
      </c>
      <c r="E75" t="inlineStr">
        <is>
          <t>clear</t>
        </is>
      </c>
      <c r="F75" t="inlineStr">
        <is>
          <t>clear</t>
        </is>
      </c>
      <c r="G75" t="inlineStr">
        <is>
          <t>clear</t>
        </is>
      </c>
      <c r="H75" t="inlineStr">
        <is>
          <t>clear</t>
        </is>
      </c>
      <c r="I75" t="inlineStr">
        <is>
          <t>clear</t>
        </is>
      </c>
      <c r="J75" t="inlineStr">
        <is>
          <t>clear</t>
        </is>
      </c>
      <c r="K75" t="inlineStr">
        <is>
          <t>clear</t>
        </is>
      </c>
    </row>
    <row r="76">
      <c r="A76" t="inlineStr">
        <is>
          <t>4A</t>
        </is>
      </c>
      <c r="B76" t="inlineStr">
        <is>
          <t>clear</t>
        </is>
      </c>
      <c r="C76" t="inlineStr">
        <is>
          <t>clear</t>
        </is>
      </c>
      <c r="D76" t="inlineStr">
        <is>
          <t>clear</t>
        </is>
      </c>
      <c r="E76" t="inlineStr">
        <is>
          <t>clear</t>
        </is>
      </c>
      <c r="F76" t="inlineStr">
        <is>
          <t>clear</t>
        </is>
      </c>
      <c r="G76" t="inlineStr">
        <is>
          <t>O</t>
        </is>
      </c>
      <c r="H76" t="inlineStr">
        <is>
          <t>O</t>
        </is>
      </c>
      <c r="I76" t="inlineStr">
        <is>
          <t>o</t>
        </is>
      </c>
      <c r="J76" t="inlineStr">
        <is>
          <t>O</t>
        </is>
      </c>
      <c r="K76" t="inlineStr">
        <is>
          <t>clear</t>
        </is>
      </c>
    </row>
    <row r="77">
      <c r="A77" t="inlineStr">
        <is>
          <t>4B</t>
        </is>
      </c>
      <c r="B77" t="inlineStr">
        <is>
          <t>O</t>
        </is>
      </c>
      <c r="C77" t="inlineStr">
        <is>
          <t>O</t>
        </is>
      </c>
      <c r="D77" t="inlineStr">
        <is>
          <t>clear</t>
        </is>
      </c>
      <c r="E77" t="inlineStr">
        <is>
          <t>O</t>
        </is>
      </c>
      <c r="F77" t="inlineStr">
        <is>
          <t>O</t>
        </is>
      </c>
      <c r="G77" t="inlineStr">
        <is>
          <t>O</t>
        </is>
      </c>
      <c r="H77" t="inlineStr">
        <is>
          <t>O</t>
        </is>
      </c>
      <c r="I77" t="inlineStr">
        <is>
          <t>o</t>
        </is>
      </c>
      <c r="J77" t="inlineStr">
        <is>
          <t>O</t>
        </is>
      </c>
      <c r="K77" t="inlineStr">
        <is>
          <t>clear</t>
        </is>
      </c>
    </row>
    <row r="78">
      <c r="A78" t="inlineStr">
        <is>
          <t>4C</t>
        </is>
      </c>
      <c r="B78" t="inlineStr">
        <is>
          <t>o</t>
        </is>
      </c>
      <c r="C78" t="inlineStr">
        <is>
          <t>o</t>
        </is>
      </c>
      <c r="D78" t="inlineStr">
        <is>
          <t>clear</t>
        </is>
      </c>
      <c r="E78" t="inlineStr">
        <is>
          <t>o</t>
        </is>
      </c>
      <c r="F78" t="inlineStr">
        <is>
          <t>o</t>
        </is>
      </c>
      <c r="G78" t="inlineStr">
        <is>
          <t>o</t>
        </is>
      </c>
      <c r="H78" t="inlineStr">
        <is>
          <t>o</t>
        </is>
      </c>
      <c r="I78" t="inlineStr">
        <is>
          <t>o</t>
        </is>
      </c>
      <c r="J78" t="inlineStr">
        <is>
          <t>o</t>
        </is>
      </c>
      <c r="K78" t="inlineStr">
        <is>
          <t>clear</t>
        </is>
      </c>
    </row>
    <row r="79">
      <c r="A79" t="inlineStr">
        <is>
          <t>4D</t>
        </is>
      </c>
      <c r="B79" t="inlineStr">
        <is>
          <t>n</t>
        </is>
      </c>
      <c r="C79" t="inlineStr">
        <is>
          <t>h</t>
        </is>
      </c>
      <c r="D79" t="inlineStr">
        <is>
          <t>clear</t>
        </is>
      </c>
      <c r="E79" t="inlineStr">
        <is>
          <t>clear</t>
        </is>
      </c>
      <c r="F79" t="inlineStr">
        <is>
          <t>clear</t>
        </is>
      </c>
      <c r="G79" t="inlineStr">
        <is>
          <t>clear</t>
        </is>
      </c>
      <c r="H79" t="inlineStr">
        <is>
          <t>n</t>
        </is>
      </c>
      <c r="I79" t="inlineStr">
        <is>
          <t>clear</t>
        </is>
      </c>
      <c r="J79" t="inlineStr">
        <is>
          <t>n</t>
        </is>
      </c>
      <c r="K79" t="inlineStr">
        <is>
          <t>clear</t>
        </is>
      </c>
    </row>
    <row r="80">
      <c r="A80" t="inlineStr">
        <is>
          <t>4E</t>
        </is>
      </c>
      <c r="B80" t="inlineStr">
        <is>
          <t>clear</t>
        </is>
      </c>
      <c r="C80" t="inlineStr">
        <is>
          <t>T</t>
        </is>
      </c>
      <c r="D80" t="inlineStr">
        <is>
          <t>clear</t>
        </is>
      </c>
      <c r="E80" t="inlineStr">
        <is>
          <t>clear</t>
        </is>
      </c>
      <c r="F80" t="inlineStr">
        <is>
          <t>clear</t>
        </is>
      </c>
      <c r="G80" t="inlineStr">
        <is>
          <t>clear</t>
        </is>
      </c>
      <c r="H80" t="inlineStr">
        <is>
          <t>clear</t>
        </is>
      </c>
      <c r="I80" t="inlineStr">
        <is>
          <t>clear</t>
        </is>
      </c>
      <c r="J80" t="inlineStr">
        <is>
          <t>clear</t>
        </is>
      </c>
      <c r="K80" t="inlineStr">
        <is>
          <t>clear</t>
        </is>
      </c>
    </row>
    <row r="81">
      <c r="A81" t="inlineStr">
        <is>
          <t>4F</t>
        </is>
      </c>
      <c r="B81" t="inlineStr">
        <is>
          <t>clear</t>
        </is>
      </c>
      <c r="C81" t="inlineStr">
        <is>
          <t>clear</t>
        </is>
      </c>
      <c r="D81" t="inlineStr">
        <is>
          <t>clear</t>
        </is>
      </c>
      <c r="E81" t="inlineStr">
        <is>
          <t>clear</t>
        </is>
      </c>
      <c r="F81" t="inlineStr">
        <is>
          <t>clear</t>
        </is>
      </c>
      <c r="G81" t="inlineStr">
        <is>
          <t>clear</t>
        </is>
      </c>
      <c r="H81" t="inlineStr">
        <is>
          <t>clear</t>
        </is>
      </c>
      <c r="I81" t="inlineStr">
        <is>
          <t>clear</t>
        </is>
      </c>
      <c r="J81" t="inlineStr">
        <is>
          <t>clear</t>
        </is>
      </c>
      <c r="K81" t="inlineStr">
        <is>
          <t>a</t>
        </is>
      </c>
    </row>
    <row r="82">
      <c r="A82" t="inlineStr">
        <is>
          <t>50</t>
        </is>
      </c>
      <c r="B82" t="inlineStr">
        <is>
          <t>clear</t>
        </is>
      </c>
      <c r="C82" t="inlineStr">
        <is>
          <t>clear</t>
        </is>
      </c>
      <c r="D82" t="inlineStr">
        <is>
          <t>clear</t>
        </is>
      </c>
      <c r="E82" t="inlineStr">
        <is>
          <t>clear</t>
        </is>
      </c>
      <c r="F82" t="inlineStr">
        <is>
          <t>clear</t>
        </is>
      </c>
      <c r="G82" t="inlineStr">
        <is>
          <t>clear</t>
        </is>
      </c>
      <c r="H82" t="inlineStr">
        <is>
          <t>clear</t>
        </is>
      </c>
      <c r="I82" t="inlineStr">
        <is>
          <t>clear</t>
        </is>
      </c>
      <c r="J82" t="inlineStr">
        <is>
          <t>clear</t>
        </is>
      </c>
      <c r="K82" t="inlineStr">
        <is>
          <t>e</t>
        </is>
      </c>
    </row>
    <row r="83">
      <c r="A83" t="inlineStr">
        <is>
          <t>51</t>
        </is>
      </c>
      <c r="B83" t="inlineStr">
        <is>
          <t>clear</t>
        </is>
      </c>
      <c r="C83" t="inlineStr">
        <is>
          <t>clear</t>
        </is>
      </c>
      <c r="D83" t="inlineStr">
        <is>
          <t>clear</t>
        </is>
      </c>
      <c r="E83" t="inlineStr">
        <is>
          <t>clear</t>
        </is>
      </c>
      <c r="F83" t="inlineStr">
        <is>
          <t>clear</t>
        </is>
      </c>
      <c r="G83" t="inlineStr">
        <is>
          <t>clear</t>
        </is>
      </c>
      <c r="H83" t="inlineStr">
        <is>
          <t>clear</t>
        </is>
      </c>
      <c r="I83" t="inlineStr">
        <is>
          <t>clear</t>
        </is>
      </c>
      <c r="J83" t="inlineStr">
        <is>
          <t>clear</t>
        </is>
      </c>
      <c r="K83" t="inlineStr">
        <is>
          <t>a</t>
        </is>
      </c>
    </row>
    <row r="84">
      <c r="A84" t="inlineStr">
        <is>
          <t>52</t>
        </is>
      </c>
      <c r="B84" t="inlineStr">
        <is>
          <t>clear</t>
        </is>
      </c>
      <c r="C84" t="inlineStr">
        <is>
          <t>clear</t>
        </is>
      </c>
      <c r="D84" t="inlineStr">
        <is>
          <t>clear</t>
        </is>
      </c>
      <c r="E84" t="inlineStr">
        <is>
          <t>clear</t>
        </is>
      </c>
      <c r="F84" t="inlineStr">
        <is>
          <t>clear</t>
        </is>
      </c>
      <c r="G84" t="inlineStr">
        <is>
          <t>clear</t>
        </is>
      </c>
      <c r="H84" t="inlineStr">
        <is>
          <t>clear</t>
        </is>
      </c>
      <c r="I84" t="inlineStr">
        <is>
          <t>clear</t>
        </is>
      </c>
      <c r="J84" t="inlineStr">
        <is>
          <t>clear</t>
        </is>
      </c>
      <c r="K84" t="inlineStr">
        <is>
          <t>i</t>
        </is>
      </c>
    </row>
    <row r="85">
      <c r="A85" t="inlineStr">
        <is>
          <t>53</t>
        </is>
      </c>
      <c r="B85" t="inlineStr">
        <is>
          <t>clear</t>
        </is>
      </c>
      <c r="C85" t="inlineStr">
        <is>
          <t>clear</t>
        </is>
      </c>
      <c r="D85" t="inlineStr">
        <is>
          <t>clear</t>
        </is>
      </c>
      <c r="E85" t="inlineStr">
        <is>
          <t>clear</t>
        </is>
      </c>
      <c r="F85" t="inlineStr">
        <is>
          <t>clear</t>
        </is>
      </c>
      <c r="G85" t="inlineStr">
        <is>
          <t>clear</t>
        </is>
      </c>
      <c r="H85" t="inlineStr">
        <is>
          <t>clear</t>
        </is>
      </c>
      <c r="I85" t="inlineStr">
        <is>
          <t>clear</t>
        </is>
      </c>
      <c r="J85" t="inlineStr">
        <is>
          <t>clear</t>
        </is>
      </c>
      <c r="K85" t="inlineStr">
        <is>
          <t>i</t>
        </is>
      </c>
    </row>
    <row r="86">
      <c r="A86" t="inlineStr">
        <is>
          <t>54</t>
        </is>
      </c>
      <c r="B86" t="inlineStr">
        <is>
          <t>clear</t>
        </is>
      </c>
      <c r="C86" t="inlineStr">
        <is>
          <t>clear</t>
        </is>
      </c>
      <c r="D86" t="inlineStr">
        <is>
          <t>clear</t>
        </is>
      </c>
      <c r="E86" t="inlineStr">
        <is>
          <t>clear</t>
        </is>
      </c>
      <c r="F86" t="inlineStr">
        <is>
          <t>clear</t>
        </is>
      </c>
      <c r="G86" t="inlineStr">
        <is>
          <t>clear</t>
        </is>
      </c>
      <c r="H86" t="inlineStr">
        <is>
          <t>clear</t>
        </is>
      </c>
      <c r="I86" t="inlineStr">
        <is>
          <t>clear</t>
        </is>
      </c>
      <c r="J86" t="inlineStr">
        <is>
          <t>m</t>
        </is>
      </c>
      <c r="K86" t="inlineStr">
        <is>
          <t>u</t>
        </is>
      </c>
    </row>
    <row r="87">
      <c r="A87" t="inlineStr">
        <is>
          <t>55</t>
        </is>
      </c>
      <c r="B87" t="inlineStr">
        <is>
          <t>clear</t>
        </is>
      </c>
      <c r="C87" t="inlineStr">
        <is>
          <t>clear</t>
        </is>
      </c>
      <c r="D87" t="inlineStr">
        <is>
          <t>clear</t>
        </is>
      </c>
      <c r="E87" t="inlineStr">
        <is>
          <t>clear</t>
        </is>
      </c>
      <c r="F87" t="inlineStr">
        <is>
          <t>o</t>
        </is>
      </c>
      <c r="G87" t="inlineStr">
        <is>
          <t>clear</t>
        </is>
      </c>
      <c r="H87" t="inlineStr">
        <is>
          <t>clear</t>
        </is>
      </c>
      <c r="I87" t="inlineStr">
        <is>
          <t>clear</t>
        </is>
      </c>
      <c r="J87" t="inlineStr">
        <is>
          <t>y</t>
        </is>
      </c>
      <c r="K87" t="inlineStr">
        <is>
          <t>clear</t>
        </is>
      </c>
    </row>
    <row r="88">
      <c r="A88" t="inlineStr">
        <is>
          <t>56</t>
        </is>
      </c>
      <c r="B88" t="inlineStr">
        <is>
          <t>U</t>
        </is>
      </c>
      <c r="C88" t="inlineStr">
        <is>
          <t>clear</t>
        </is>
      </c>
      <c r="D88" t="inlineStr">
        <is>
          <t>clear</t>
        </is>
      </c>
      <c r="E88" t="inlineStr">
        <is>
          <t>clear</t>
        </is>
      </c>
      <c r="F88" t="inlineStr">
        <is>
          <t>clear</t>
        </is>
      </c>
      <c r="G88" t="inlineStr">
        <is>
          <t>clear</t>
        </is>
      </c>
      <c r="H88" t="inlineStr">
        <is>
          <t>clear</t>
        </is>
      </c>
      <c r="I88" t="inlineStr">
        <is>
          <t>clear</t>
        </is>
      </c>
      <c r="J88" t="inlineStr">
        <is>
          <t>clear</t>
        </is>
      </c>
      <c r="K88" t="inlineStr">
        <is>
          <t>u</t>
        </is>
      </c>
    </row>
    <row r="89">
      <c r="A89" t="inlineStr">
        <is>
          <t>57</t>
        </is>
      </c>
      <c r="B89" t="inlineStr">
        <is>
          <t>U</t>
        </is>
      </c>
      <c r="C89" t="inlineStr">
        <is>
          <t>clear</t>
        </is>
      </c>
      <c r="D89" t="inlineStr">
        <is>
          <t>clear</t>
        </is>
      </c>
      <c r="E89" t="inlineStr">
        <is>
          <t>clear</t>
        </is>
      </c>
      <c r="F89" t="inlineStr">
        <is>
          <t>clear</t>
        </is>
      </c>
      <c r="G89" t="inlineStr">
        <is>
          <t>clear</t>
        </is>
      </c>
      <c r="H89" t="inlineStr">
        <is>
          <t>clear</t>
        </is>
      </c>
      <c r="I89" t="inlineStr">
        <is>
          <t>clear</t>
        </is>
      </c>
      <c r="J89" t="inlineStr">
        <is>
          <t>clear</t>
        </is>
      </c>
      <c r="K89" t="inlineStr">
        <is>
          <t>clear</t>
        </is>
      </c>
    </row>
    <row r="90">
      <c r="A90" t="inlineStr">
        <is>
          <t>58</t>
        </is>
      </c>
      <c r="B90" t="inlineStr">
        <is>
          <t>q</t>
        </is>
      </c>
      <c r="C90" t="inlineStr">
        <is>
          <t>clear</t>
        </is>
      </c>
      <c r="D90" t="inlineStr">
        <is>
          <t>clear</t>
        </is>
      </c>
      <c r="E90" t="inlineStr">
        <is>
          <t>clear</t>
        </is>
      </c>
      <c r="F90" t="inlineStr">
        <is>
          <t>clear</t>
        </is>
      </c>
      <c r="G90" t="inlineStr">
        <is>
          <t>clear</t>
        </is>
      </c>
      <c r="H90" t="inlineStr">
        <is>
          <t>t</t>
        </is>
      </c>
      <c r="I90" t="inlineStr">
        <is>
          <t>clear</t>
        </is>
      </c>
      <c r="J90" t="inlineStr">
        <is>
          <t>a</t>
        </is>
      </c>
      <c r="K90" t="inlineStr">
        <is>
          <t>r</t>
        </is>
      </c>
    </row>
    <row r="91">
      <c r="A91" t="inlineStr">
        <is>
          <t>59</t>
        </is>
      </c>
      <c r="B91" t="inlineStr">
        <is>
          <t>K</t>
        </is>
      </c>
      <c r="C91" t="inlineStr">
        <is>
          <t>clear</t>
        </is>
      </c>
      <c r="D91" t="inlineStr">
        <is>
          <t>K</t>
        </is>
      </c>
      <c r="E91" t="inlineStr">
        <is>
          <t>clear</t>
        </is>
      </c>
      <c r="F91" t="inlineStr">
        <is>
          <t>clear</t>
        </is>
      </c>
      <c r="G91" t="inlineStr">
        <is>
          <t>clear</t>
        </is>
      </c>
      <c r="H91" t="inlineStr">
        <is>
          <t>d</t>
        </is>
      </c>
      <c r="I91" t="inlineStr">
        <is>
          <t>clear</t>
        </is>
      </c>
      <c r="J91" t="inlineStr">
        <is>
          <t>a</t>
        </is>
      </c>
      <c r="K91" t="inlineStr">
        <is>
          <t>e</t>
        </is>
      </c>
    </row>
    <row r="92">
      <c r="A92" t="inlineStr">
        <is>
          <t>5A</t>
        </is>
      </c>
      <c r="B92" t="inlineStr">
        <is>
          <t>G</t>
        </is>
      </c>
      <c r="C92" t="inlineStr">
        <is>
          <t>clear</t>
        </is>
      </c>
      <c r="D92" t="inlineStr">
        <is>
          <t>G</t>
        </is>
      </c>
      <c r="E92" t="inlineStr">
        <is>
          <t>clear</t>
        </is>
      </c>
      <c r="F92" t="inlineStr">
        <is>
          <t>clear</t>
        </is>
      </c>
      <c r="G92" t="inlineStr">
        <is>
          <t>clear</t>
        </is>
      </c>
      <c r="H92" t="inlineStr">
        <is>
          <t>R</t>
        </is>
      </c>
      <c r="I92" t="inlineStr">
        <is>
          <t>clear</t>
        </is>
      </c>
      <c r="J92" t="inlineStr">
        <is>
          <t>m</t>
        </is>
      </c>
      <c r="K92" t="inlineStr">
        <is>
          <t>e</t>
        </is>
      </c>
    </row>
    <row r="93">
      <c r="A93" t="inlineStr">
        <is>
          <t>5B</t>
        </is>
      </c>
      <c r="B93" t="inlineStr">
        <is>
          <t>z</t>
        </is>
      </c>
      <c r="C93" t="inlineStr">
        <is>
          <t>clear</t>
        </is>
      </c>
      <c r="D93" t="inlineStr">
        <is>
          <t>z</t>
        </is>
      </c>
      <c r="E93" t="inlineStr">
        <is>
          <t>clear</t>
        </is>
      </c>
      <c r="F93" t="inlineStr">
        <is>
          <t>clear</t>
        </is>
      </c>
      <c r="G93" t="inlineStr">
        <is>
          <t>clear</t>
        </is>
      </c>
      <c r="H93" t="inlineStr">
        <is>
          <t>clear</t>
        </is>
      </c>
      <c r="I93" t="inlineStr">
        <is>
          <t>clear</t>
        </is>
      </c>
      <c r="J93" t="inlineStr">
        <is>
          <t>o</t>
        </is>
      </c>
      <c r="K93" t="inlineStr">
        <is>
          <t>e</t>
        </is>
      </c>
    </row>
    <row r="94">
      <c r="A94" t="inlineStr">
        <is>
          <t>5C</t>
        </is>
      </c>
      <c r="B94" t="inlineStr">
        <is>
          <t>clear</t>
        </is>
      </c>
      <c r="C94" t="inlineStr">
        <is>
          <t>R</t>
        </is>
      </c>
      <c r="D94" t="inlineStr">
        <is>
          <t>R</t>
        </is>
      </c>
      <c r="E94" t="inlineStr">
        <is>
          <t>clear</t>
        </is>
      </c>
      <c r="F94" t="inlineStr">
        <is>
          <t>d</t>
        </is>
      </c>
      <c r="G94" t="inlineStr">
        <is>
          <t>clear</t>
        </is>
      </c>
      <c r="H94" t="inlineStr">
        <is>
          <t>clear</t>
        </is>
      </c>
      <c r="I94" t="inlineStr">
        <is>
          <t>clear</t>
        </is>
      </c>
      <c r="J94" t="inlineStr">
        <is>
          <t>r</t>
        </is>
      </c>
      <c r="K94" t="inlineStr">
        <is>
          <t>o</t>
        </is>
      </c>
    </row>
    <row r="95">
      <c r="A95" t="inlineStr">
        <is>
          <t>5D</t>
        </is>
      </c>
      <c r="B95" t="inlineStr">
        <is>
          <t>clear</t>
        </is>
      </c>
      <c r="C95" t="inlineStr">
        <is>
          <t>clear</t>
        </is>
      </c>
      <c r="D95" t="inlineStr">
        <is>
          <t>clear</t>
        </is>
      </c>
      <c r="E95" t="inlineStr">
        <is>
          <t>clear</t>
        </is>
      </c>
      <c r="F95" t="inlineStr">
        <is>
          <t>Q</t>
        </is>
      </c>
      <c r="G95" t="inlineStr">
        <is>
          <t>clear</t>
        </is>
      </c>
      <c r="H95" t="inlineStr">
        <is>
          <t>clear</t>
        </is>
      </c>
      <c r="I95" t="inlineStr">
        <is>
          <t>clear</t>
        </is>
      </c>
      <c r="J95" t="inlineStr">
        <is>
          <t>m</t>
        </is>
      </c>
      <c r="K95" t="inlineStr">
        <is>
          <t>o</t>
        </is>
      </c>
    </row>
    <row r="96">
      <c r="A96" t="inlineStr">
        <is>
          <t>5E</t>
        </is>
      </c>
      <c r="B96" t="inlineStr">
        <is>
          <t>f</t>
        </is>
      </c>
      <c r="C96" t="inlineStr">
        <is>
          <t>clear</t>
        </is>
      </c>
      <c r="D96" t="inlineStr">
        <is>
          <t>f</t>
        </is>
      </c>
      <c r="E96" t="inlineStr">
        <is>
          <t>clear</t>
        </is>
      </c>
      <c r="F96" t="inlineStr">
        <is>
          <t>clear</t>
        </is>
      </c>
      <c r="G96" t="inlineStr">
        <is>
          <t>clear</t>
        </is>
      </c>
      <c r="H96" t="inlineStr">
        <is>
          <t>clear</t>
        </is>
      </c>
      <c r="I96" t="inlineStr">
        <is>
          <t>f</t>
        </is>
      </c>
      <c r="J96" t="inlineStr">
        <is>
          <t>n</t>
        </is>
      </c>
      <c r="K96" t="inlineStr">
        <is>
          <t>o</t>
        </is>
      </c>
    </row>
    <row r="97">
      <c r="A97" t="inlineStr">
        <is>
          <t>5F</t>
        </is>
      </c>
      <c r="B97" t="inlineStr">
        <is>
          <t>y</t>
        </is>
      </c>
      <c r="C97" t="inlineStr">
        <is>
          <t>y</t>
        </is>
      </c>
      <c r="D97" t="inlineStr">
        <is>
          <t>clear</t>
        </is>
      </c>
      <c r="E97" t="inlineStr">
        <is>
          <t>clear</t>
        </is>
      </c>
      <c r="F97" t="inlineStr">
        <is>
          <t>y</t>
        </is>
      </c>
      <c r="G97" t="inlineStr">
        <is>
          <t>clear</t>
        </is>
      </c>
      <c r="H97" t="inlineStr">
        <is>
          <t>clear</t>
        </is>
      </c>
      <c r="I97" t="inlineStr">
        <is>
          <t>clear</t>
        </is>
      </c>
      <c r="J97" t="inlineStr">
        <is>
          <t>i</t>
        </is>
      </c>
      <c r="K97" t="inlineStr">
        <is>
          <t>l</t>
        </is>
      </c>
    </row>
    <row r="98">
      <c r="A98" t="inlineStr">
        <is>
          <t>60</t>
        </is>
      </c>
      <c r="B98" t="inlineStr">
        <is>
          <t>R</t>
        </is>
      </c>
      <c r="C98" t="inlineStr">
        <is>
          <t>R</t>
        </is>
      </c>
      <c r="D98" t="inlineStr">
        <is>
          <t>clear</t>
        </is>
      </c>
      <c r="E98" t="inlineStr">
        <is>
          <t>R</t>
        </is>
      </c>
      <c r="F98" t="inlineStr">
        <is>
          <t>R</t>
        </is>
      </c>
      <c r="G98" t="inlineStr">
        <is>
          <t>clear</t>
        </is>
      </c>
      <c r="H98" t="inlineStr">
        <is>
          <t>R</t>
        </is>
      </c>
      <c r="I98" t="inlineStr">
        <is>
          <t>R</t>
        </is>
      </c>
      <c r="J98" t="inlineStr">
        <is>
          <t>R</t>
        </is>
      </c>
      <c r="K98" t="inlineStr">
        <is>
          <t>clear</t>
        </is>
      </c>
    </row>
    <row r="99">
      <c r="A99" t="inlineStr">
        <is>
          <t>61</t>
        </is>
      </c>
      <c r="B99" t="inlineStr">
        <is>
          <t>l</t>
        </is>
      </c>
      <c r="C99" t="inlineStr">
        <is>
          <t>l</t>
        </is>
      </c>
      <c r="D99" t="inlineStr">
        <is>
          <t>clear</t>
        </is>
      </c>
      <c r="E99" t="inlineStr">
        <is>
          <t>l</t>
        </is>
      </c>
      <c r="F99" t="inlineStr">
        <is>
          <t>l</t>
        </is>
      </c>
      <c r="G99" t="inlineStr">
        <is>
          <t>clear</t>
        </is>
      </c>
      <c r="H99" t="inlineStr">
        <is>
          <t>l</t>
        </is>
      </c>
      <c r="I99" t="inlineStr">
        <is>
          <t>l</t>
        </is>
      </c>
      <c r="J99" t="inlineStr">
        <is>
          <t>l</t>
        </is>
      </c>
      <c r="K99" t="inlineStr">
        <is>
          <t>clear</t>
        </is>
      </c>
    </row>
    <row r="100">
      <c r="A100" t="inlineStr">
        <is>
          <t>62</t>
        </is>
      </c>
      <c r="B100" t="inlineStr">
        <is>
          <t>L</t>
        </is>
      </c>
      <c r="C100" t="inlineStr">
        <is>
          <t>L</t>
        </is>
      </c>
      <c r="D100" t="inlineStr">
        <is>
          <t>clear</t>
        </is>
      </c>
      <c r="E100" t="inlineStr">
        <is>
          <t>L</t>
        </is>
      </c>
      <c r="F100" t="inlineStr">
        <is>
          <t>L</t>
        </is>
      </c>
      <c r="G100" t="inlineStr">
        <is>
          <t>clear</t>
        </is>
      </c>
      <c r="H100" t="inlineStr">
        <is>
          <t>L</t>
        </is>
      </c>
      <c r="I100" t="inlineStr">
        <is>
          <t>clear</t>
        </is>
      </c>
      <c r="J100" t="inlineStr">
        <is>
          <t>L</t>
        </is>
      </c>
      <c r="K100" t="inlineStr">
        <is>
          <t>clear</t>
        </is>
      </c>
    </row>
    <row r="101">
      <c r="A101" t="inlineStr">
        <is>
          <t>63</t>
        </is>
      </c>
      <c r="B101" t="inlineStr">
        <is>
          <t>L</t>
        </is>
      </c>
      <c r="C101" t="inlineStr">
        <is>
          <t>L</t>
        </is>
      </c>
      <c r="D101" t="inlineStr">
        <is>
          <t>clear</t>
        </is>
      </c>
      <c r="E101" t="inlineStr">
        <is>
          <t>L</t>
        </is>
      </c>
      <c r="F101" t="inlineStr">
        <is>
          <t>L</t>
        </is>
      </c>
      <c r="G101" t="inlineStr">
        <is>
          <t>clear</t>
        </is>
      </c>
      <c r="H101" t="inlineStr">
        <is>
          <t>L</t>
        </is>
      </c>
      <c r="I101" t="inlineStr">
        <is>
          <t>clear</t>
        </is>
      </c>
      <c r="J101" t="inlineStr">
        <is>
          <t>L</t>
        </is>
      </c>
      <c r="K101" t="inlineStr">
        <is>
          <t>clear</t>
        </is>
      </c>
    </row>
    <row r="102">
      <c r="A102" t="inlineStr">
        <is>
          <t>64</t>
        </is>
      </c>
      <c r="B102" t="inlineStr">
        <is>
          <t>clear</t>
        </is>
      </c>
      <c r="C102" t="inlineStr">
        <is>
          <t>clear</t>
        </is>
      </c>
      <c r="D102" t="inlineStr">
        <is>
          <t>clear</t>
        </is>
      </c>
      <c r="E102" t="inlineStr">
        <is>
          <t>clear</t>
        </is>
      </c>
      <c r="F102" t="inlineStr">
        <is>
          <t>clear</t>
        </is>
      </c>
      <c r="G102" t="inlineStr">
        <is>
          <t>clear</t>
        </is>
      </c>
      <c r="H102" t="inlineStr">
        <is>
          <t>clear</t>
        </is>
      </c>
      <c r="I102" t="inlineStr">
        <is>
          <t>clear</t>
        </is>
      </c>
      <c r="J102" t="inlineStr">
        <is>
          <t>clear</t>
        </is>
      </c>
      <c r="K102" t="inlineStr">
        <is>
          <t>clear</t>
        </is>
      </c>
    </row>
    <row r="103">
      <c r="A103" t="inlineStr">
        <is>
          <t>65</t>
        </is>
      </c>
      <c r="B103" t="inlineStr">
        <is>
          <t>clear</t>
        </is>
      </c>
      <c r="C103" t="inlineStr">
        <is>
          <t>clear</t>
        </is>
      </c>
      <c r="D103" t="inlineStr">
        <is>
          <t>clear</t>
        </is>
      </c>
      <c r="E103" t="inlineStr">
        <is>
          <t>clear</t>
        </is>
      </c>
      <c r="F103" t="inlineStr">
        <is>
          <t>clear</t>
        </is>
      </c>
      <c r="G103" t="inlineStr">
        <is>
          <t>clear</t>
        </is>
      </c>
      <c r="H103" t="inlineStr">
        <is>
          <t>clear</t>
        </is>
      </c>
      <c r="I103" t="inlineStr">
        <is>
          <t>clear</t>
        </is>
      </c>
      <c r="J103" t="inlineStr">
        <is>
          <t>clear</t>
        </is>
      </c>
      <c r="K103" t="inlineStr">
        <is>
          <t>clear</t>
        </is>
      </c>
    </row>
    <row r="104">
      <c r="A104" t="inlineStr">
        <is>
          <t>66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clear</t>
        </is>
      </c>
    </row>
    <row r="105">
      <c r="A105" t="inlineStr">
        <is>
          <t>67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clear</t>
        </is>
      </c>
    </row>
    <row r="106">
      <c r="A106" t="inlineStr">
        <is>
          <t>68</t>
        </is>
      </c>
      <c r="B106" t="inlineStr">
        <is>
          <t>2</t>
        </is>
      </c>
      <c r="C106" t="inlineStr">
        <is>
          <t>2</t>
        </is>
      </c>
      <c r="D106" t="inlineStr">
        <is>
          <t>2</t>
        </is>
      </c>
      <c r="E106" t="inlineStr">
        <is>
          <t>2</t>
        </is>
      </c>
      <c r="F106" t="inlineStr">
        <is>
          <t>2</t>
        </is>
      </c>
      <c r="G106" t="inlineStr">
        <is>
          <t>2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clear</t>
        </is>
      </c>
    </row>
    <row r="107">
      <c r="A107" t="inlineStr">
        <is>
          <t>69</t>
        </is>
      </c>
      <c r="B107" t="inlineStr">
        <is>
          <t>3</t>
        </is>
      </c>
      <c r="C107" t="inlineStr">
        <is>
          <t>3</t>
        </is>
      </c>
      <c r="D107" t="inlineStr">
        <is>
          <t>3</t>
        </is>
      </c>
      <c r="E107" t="inlineStr">
        <is>
          <t>3</t>
        </is>
      </c>
      <c r="F107" t="inlineStr">
        <is>
          <t>3</t>
        </is>
      </c>
      <c r="G107" t="inlineStr">
        <is>
          <t>3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clear</t>
        </is>
      </c>
    </row>
    <row r="108">
      <c r="A108" t="inlineStr">
        <is>
          <t>6A</t>
        </is>
      </c>
      <c r="B108" t="inlineStr">
        <is>
          <t>4</t>
        </is>
      </c>
      <c r="C108" t="inlineStr">
        <is>
          <t>4</t>
        </is>
      </c>
      <c r="D108" t="inlineStr">
        <is>
          <t>4</t>
        </is>
      </c>
      <c r="E108" t="inlineStr">
        <is>
          <t>4</t>
        </is>
      </c>
      <c r="F108" t="inlineStr">
        <is>
          <t>4</t>
        </is>
      </c>
      <c r="G108" t="inlineStr">
        <is>
          <t>4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clear</t>
        </is>
      </c>
    </row>
    <row r="109">
      <c r="A109" t="inlineStr">
        <is>
          <t>6B</t>
        </is>
      </c>
      <c r="B109" t="inlineStr">
        <is>
          <t>5</t>
        </is>
      </c>
      <c r="C109" t="inlineStr">
        <is>
          <t>5</t>
        </is>
      </c>
      <c r="D109" t="inlineStr">
        <is>
          <t>5</t>
        </is>
      </c>
      <c r="E109" t="inlineStr">
        <is>
          <t>5</t>
        </is>
      </c>
      <c r="F109" t="inlineStr">
        <is>
          <t>5</t>
        </is>
      </c>
      <c r="G109" t="inlineStr">
        <is>
          <t>5</t>
        </is>
      </c>
      <c r="H109" t="inlineStr">
        <is>
          <t>5</t>
        </is>
      </c>
      <c r="I109" t="inlineStr">
        <is>
          <t>5</t>
        </is>
      </c>
      <c r="J109" t="inlineStr">
        <is>
          <t>5</t>
        </is>
      </c>
      <c r="K109" t="inlineStr">
        <is>
          <t>clear</t>
        </is>
      </c>
    </row>
    <row r="110">
      <c r="A110" t="inlineStr">
        <is>
          <t>6C</t>
        </is>
      </c>
      <c r="B110" t="inlineStr">
        <is>
          <t>6</t>
        </is>
      </c>
      <c r="C110" t="inlineStr">
        <is>
          <t>6</t>
        </is>
      </c>
      <c r="D110" t="inlineStr">
        <is>
          <t>6</t>
        </is>
      </c>
      <c r="E110" t="inlineStr">
        <is>
          <t>6</t>
        </is>
      </c>
      <c r="F110" t="inlineStr">
        <is>
          <t>6</t>
        </is>
      </c>
      <c r="G110" t="inlineStr">
        <is>
          <t>6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clear</t>
        </is>
      </c>
    </row>
    <row r="111">
      <c r="A111" t="inlineStr">
        <is>
          <t>6D</t>
        </is>
      </c>
      <c r="B111" t="inlineStr">
        <is>
          <t>7</t>
        </is>
      </c>
      <c r="C111" t="inlineStr">
        <is>
          <t>7</t>
        </is>
      </c>
      <c r="D111" t="inlineStr">
        <is>
          <t>7</t>
        </is>
      </c>
      <c r="E111" t="inlineStr">
        <is>
          <t>7</t>
        </is>
      </c>
      <c r="F111" t="inlineStr">
        <is>
          <t>7</t>
        </is>
      </c>
      <c r="G111" t="inlineStr">
        <is>
          <t>7</t>
        </is>
      </c>
      <c r="H111" t="inlineStr">
        <is>
          <t>7</t>
        </is>
      </c>
      <c r="I111" t="inlineStr">
        <is>
          <t>7</t>
        </is>
      </c>
      <c r="J111" t="inlineStr">
        <is>
          <t>7</t>
        </is>
      </c>
      <c r="K111" t="inlineStr">
        <is>
          <t>clear</t>
        </is>
      </c>
    </row>
    <row r="112">
      <c r="A112" t="inlineStr">
        <is>
          <t>6E</t>
        </is>
      </c>
      <c r="B112" t="inlineStr">
        <is>
          <t>8</t>
        </is>
      </c>
      <c r="C112" t="inlineStr">
        <is>
          <t>8</t>
        </is>
      </c>
      <c r="D112" t="inlineStr">
        <is>
          <t>8</t>
        </is>
      </c>
      <c r="E112" t="inlineStr">
        <is>
          <t>8</t>
        </is>
      </c>
      <c r="F112" t="inlineStr">
        <is>
          <t>8</t>
        </is>
      </c>
      <c r="G112" t="inlineStr">
        <is>
          <t>8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clear</t>
        </is>
      </c>
    </row>
    <row r="113">
      <c r="A113" t="inlineStr">
        <is>
          <t>6F</t>
        </is>
      </c>
      <c r="B113" t="inlineStr">
        <is>
          <t>9</t>
        </is>
      </c>
      <c r="C113" t="inlineStr">
        <is>
          <t>9</t>
        </is>
      </c>
      <c r="D113" t="inlineStr">
        <is>
          <t>9</t>
        </is>
      </c>
      <c r="E113" t="inlineStr">
        <is>
          <t>9</t>
        </is>
      </c>
      <c r="F113" t="inlineStr">
        <is>
          <t>9</t>
        </is>
      </c>
      <c r="G113" t="inlineStr">
        <is>
          <t>9</t>
        </is>
      </c>
      <c r="H113" t="inlineStr">
        <is>
          <t>9</t>
        </is>
      </c>
      <c r="I113" t="inlineStr">
        <is>
          <t>9</t>
        </is>
      </c>
      <c r="J113" t="inlineStr">
        <is>
          <t>9</t>
        </is>
      </c>
      <c r="K113" t="inlineStr">
        <is>
          <t>clear</t>
        </is>
      </c>
    </row>
    <row r="114">
      <c r="A114" t="inlineStr">
        <is>
          <t>70</t>
        </is>
      </c>
      <c r="B114" t="inlineStr">
        <is>
          <t>clear</t>
        </is>
      </c>
      <c r="C114" t="inlineStr">
        <is>
          <t>r</t>
        </is>
      </c>
      <c r="D114" t="inlineStr">
        <is>
          <t>clear</t>
        </is>
      </c>
      <c r="E114" t="inlineStr">
        <is>
          <t>clear</t>
        </is>
      </c>
      <c r="F114" t="inlineStr">
        <is>
          <t>clear</t>
        </is>
      </c>
      <c r="G114" t="inlineStr">
        <is>
          <t>t</t>
        </is>
      </c>
      <c r="H114" t="inlineStr">
        <is>
          <t>clear</t>
        </is>
      </c>
      <c r="I114" t="inlineStr">
        <is>
          <t>clear</t>
        </is>
      </c>
      <c r="J114" t="inlineStr">
        <is>
          <t>t</t>
        </is>
      </c>
      <c r="K114" t="inlineStr">
        <is>
          <t>clear</t>
        </is>
      </c>
    </row>
    <row r="115">
      <c r="A115" t="inlineStr">
        <is>
          <t>71</t>
        </is>
      </c>
      <c r="B115" t="inlineStr">
        <is>
          <t>clear</t>
        </is>
      </c>
      <c r="C115" t="inlineStr">
        <is>
          <t>w</t>
        </is>
      </c>
      <c r="D115" t="inlineStr">
        <is>
          <t>clear</t>
        </is>
      </c>
      <c r="E115" t="inlineStr">
        <is>
          <t>clear</t>
        </is>
      </c>
      <c r="F115" t="inlineStr">
        <is>
          <t>w</t>
        </is>
      </c>
      <c r="G115" t="inlineStr">
        <is>
          <t>clear</t>
        </is>
      </c>
      <c r="H115" t="inlineStr">
        <is>
          <t>clear</t>
        </is>
      </c>
      <c r="I115" t="inlineStr">
        <is>
          <t>j</t>
        </is>
      </c>
      <c r="J115" t="inlineStr">
        <is>
          <t>clear</t>
        </is>
      </c>
      <c r="K115" t="inlineStr">
        <is>
          <t>clear</t>
        </is>
      </c>
    </row>
    <row r="116">
      <c r="A116" t="inlineStr">
        <is>
          <t>72</t>
        </is>
      </c>
      <c r="B116" t="inlineStr">
        <is>
          <t>a</t>
        </is>
      </c>
      <c r="C116" t="inlineStr">
        <is>
          <t>t</t>
        </is>
      </c>
      <c r="D116" t="inlineStr">
        <is>
          <t>clear</t>
        </is>
      </c>
      <c r="E116" t="inlineStr">
        <is>
          <t>clear</t>
        </is>
      </c>
      <c r="F116" t="inlineStr">
        <is>
          <t>clear</t>
        </is>
      </c>
      <c r="G116" t="inlineStr">
        <is>
          <t>clear</t>
        </is>
      </c>
      <c r="H116" t="inlineStr">
        <is>
          <t>clear</t>
        </is>
      </c>
      <c r="I116" t="inlineStr">
        <is>
          <t>u</t>
        </is>
      </c>
      <c r="J116" t="inlineStr">
        <is>
          <t>clear</t>
        </is>
      </c>
      <c r="K116" t="inlineStr">
        <is>
          <t>R</t>
        </is>
      </c>
    </row>
    <row r="117">
      <c r="A117" t="inlineStr">
        <is>
          <t>73</t>
        </is>
      </c>
      <c r="B117" t="inlineStr">
        <is>
          <t>clear</t>
        </is>
      </c>
      <c r="C117" t="inlineStr">
        <is>
          <t>t</t>
        </is>
      </c>
      <c r="D117" t="inlineStr">
        <is>
          <t>clear</t>
        </is>
      </c>
      <c r="E117" t="inlineStr">
        <is>
          <t>clear</t>
        </is>
      </c>
      <c r="F117" t="inlineStr">
        <is>
          <t>clear</t>
        </is>
      </c>
      <c r="G117" t="inlineStr">
        <is>
          <t>n</t>
        </is>
      </c>
      <c r="H117" t="inlineStr">
        <is>
          <t>clear</t>
        </is>
      </c>
      <c r="I117" t="inlineStr">
        <is>
          <t>clear</t>
        </is>
      </c>
      <c r="J117" t="inlineStr">
        <is>
          <t>k</t>
        </is>
      </c>
      <c r="K117" t="inlineStr">
        <is>
          <t>l</t>
        </is>
      </c>
    </row>
    <row r="118">
      <c r="A118" t="inlineStr">
        <is>
          <t>74</t>
        </is>
      </c>
      <c r="B118" t="inlineStr">
        <is>
          <t>u</t>
        </is>
      </c>
      <c r="C118" t="inlineStr">
        <is>
          <t>1</t>
        </is>
      </c>
      <c r="D118" t="inlineStr">
        <is>
          <t>clear</t>
        </is>
      </c>
      <c r="E118" t="inlineStr">
        <is>
          <t>clear</t>
        </is>
      </c>
      <c r="F118" t="inlineStr">
        <is>
          <t>clear</t>
        </is>
      </c>
      <c r="G118" t="inlineStr">
        <is>
          <t>m</t>
        </is>
      </c>
      <c r="H118" t="inlineStr">
        <is>
          <t>clear</t>
        </is>
      </c>
      <c r="I118" t="inlineStr">
        <is>
          <t>clear</t>
        </is>
      </c>
      <c r="J118" t="inlineStr">
        <is>
          <t>a</t>
        </is>
      </c>
      <c r="K118" t="inlineStr">
        <is>
          <t>clear</t>
        </is>
      </c>
    </row>
    <row r="119">
      <c r="A119" t="inlineStr">
        <is>
          <t>75</t>
        </is>
      </c>
      <c r="B119" t="inlineStr">
        <is>
          <t>o</t>
        </is>
      </c>
      <c r="C119" t="inlineStr">
        <is>
          <t>2</t>
        </is>
      </c>
      <c r="D119" t="inlineStr">
        <is>
          <t>clear</t>
        </is>
      </c>
      <c r="E119" t="inlineStr">
        <is>
          <t>clear</t>
        </is>
      </c>
      <c r="F119" t="inlineStr">
        <is>
          <t>clear</t>
        </is>
      </c>
      <c r="G119" t="inlineStr">
        <is>
          <t>v</t>
        </is>
      </c>
      <c r="H119" t="inlineStr">
        <is>
          <t>clear</t>
        </is>
      </c>
      <c r="I119" t="inlineStr">
        <is>
          <t>clear</t>
        </is>
      </c>
      <c r="J119" t="inlineStr">
        <is>
          <t>m</t>
        </is>
      </c>
      <c r="K119" t="inlineStr">
        <is>
          <t>clear</t>
        </is>
      </c>
    </row>
    <row r="120">
      <c r="A120" t="inlineStr">
        <is>
          <t>76</t>
        </is>
      </c>
      <c r="B120" t="inlineStr">
        <is>
          <t>u</t>
        </is>
      </c>
      <c r="C120" t="inlineStr">
        <is>
          <t>3</t>
        </is>
      </c>
      <c r="D120" t="inlineStr">
        <is>
          <t>clear</t>
        </is>
      </c>
      <c r="E120" t="inlineStr">
        <is>
          <t>clear</t>
        </is>
      </c>
      <c r="F120" t="inlineStr">
        <is>
          <t>clear</t>
        </is>
      </c>
      <c r="G120" t="inlineStr">
        <is>
          <t>p</t>
        </is>
      </c>
      <c r="H120" t="inlineStr">
        <is>
          <t>clear</t>
        </is>
      </c>
      <c r="I120" t="inlineStr">
        <is>
          <t>clear</t>
        </is>
      </c>
      <c r="J120" t="inlineStr">
        <is>
          <t>m</t>
        </is>
      </c>
      <c r="K120" t="inlineStr">
        <is>
          <t>clear</t>
        </is>
      </c>
    </row>
    <row r="121">
      <c r="A121" t="inlineStr">
        <is>
          <t>77</t>
        </is>
      </c>
      <c r="B121" t="inlineStr">
        <is>
          <t>u</t>
        </is>
      </c>
      <c r="C121" t="inlineStr">
        <is>
          <t>4</t>
        </is>
      </c>
      <c r="D121" t="inlineStr">
        <is>
          <t>clear</t>
        </is>
      </c>
      <c r="E121" t="inlineStr">
        <is>
          <t>clear</t>
        </is>
      </c>
      <c r="F121" t="inlineStr">
        <is>
          <t>clear</t>
        </is>
      </c>
      <c r="G121" t="inlineStr">
        <is>
          <t>e</t>
        </is>
      </c>
      <c r="H121" t="inlineStr">
        <is>
          <t>clear</t>
        </is>
      </c>
      <c r="I121" t="inlineStr">
        <is>
          <t>clear</t>
        </is>
      </c>
      <c r="J121" t="inlineStr">
        <is>
          <t>a</t>
        </is>
      </c>
      <c r="K121" t="inlineStr">
        <is>
          <t>clear</t>
        </is>
      </c>
    </row>
    <row r="122">
      <c r="A122" t="inlineStr">
        <is>
          <t>78</t>
        </is>
      </c>
      <c r="B122" t="inlineStr">
        <is>
          <t>d</t>
        </is>
      </c>
      <c r="C122" t="inlineStr">
        <is>
          <t>clear</t>
        </is>
      </c>
      <c r="D122" t="inlineStr">
        <is>
          <t>clear</t>
        </is>
      </c>
      <c r="E122" t="inlineStr">
        <is>
          <t>clear</t>
        </is>
      </c>
      <c r="F122" t="inlineStr">
        <is>
          <t>clear</t>
        </is>
      </c>
      <c r="G122" t="inlineStr">
        <is>
          <t>m</t>
        </is>
      </c>
      <c r="H122" t="inlineStr">
        <is>
          <t>4</t>
        </is>
      </c>
      <c r="I122" t="inlineStr">
        <is>
          <t>clear</t>
        </is>
      </c>
      <c r="J122" t="inlineStr">
        <is>
          <t>m</t>
        </is>
      </c>
      <c r="K122" t="inlineStr">
        <is>
          <t>clear</t>
        </is>
      </c>
    </row>
    <row r="123">
      <c r="A123" t="inlineStr">
        <is>
          <t>79</t>
        </is>
      </c>
      <c r="B123" t="inlineStr">
        <is>
          <t>z</t>
        </is>
      </c>
      <c r="C123" t="inlineStr">
        <is>
          <t>clear</t>
        </is>
      </c>
      <c r="D123" t="inlineStr">
        <is>
          <t>clear</t>
        </is>
      </c>
      <c r="E123" t="inlineStr">
        <is>
          <t>z</t>
        </is>
      </c>
      <c r="F123" t="inlineStr">
        <is>
          <t>clear</t>
        </is>
      </c>
      <c r="G123" t="inlineStr">
        <is>
          <t>r</t>
        </is>
      </c>
      <c r="H123" t="inlineStr">
        <is>
          <t>4</t>
        </is>
      </c>
      <c r="I123" t="inlineStr">
        <is>
          <t>clear</t>
        </is>
      </c>
      <c r="J123" t="inlineStr">
        <is>
          <t>clear</t>
        </is>
      </c>
      <c r="K123" t="inlineStr">
        <is>
          <t>clear</t>
        </is>
      </c>
    </row>
    <row r="124">
      <c r="A124" t="inlineStr">
        <is>
          <t>7A</t>
        </is>
      </c>
      <c r="B124" t="inlineStr">
        <is>
          <t>y</t>
        </is>
      </c>
      <c r="C124" t="inlineStr">
        <is>
          <t>i</t>
        </is>
      </c>
      <c r="D124" t="inlineStr">
        <is>
          <t>clear</t>
        </is>
      </c>
      <c r="E124" t="inlineStr">
        <is>
          <t>clear</t>
        </is>
      </c>
      <c r="F124" t="inlineStr">
        <is>
          <t>clear</t>
        </is>
      </c>
      <c r="G124" t="inlineStr">
        <is>
          <t>n</t>
        </is>
      </c>
      <c r="H124" t="inlineStr">
        <is>
          <t>4</t>
        </is>
      </c>
      <c r="I124" t="inlineStr">
        <is>
          <t>clear</t>
        </is>
      </c>
      <c r="J124" t="inlineStr">
        <is>
          <t>clear</t>
        </is>
      </c>
      <c r="K124" t="inlineStr">
        <is>
          <t>clear</t>
        </is>
      </c>
    </row>
    <row r="125">
      <c r="A125" t="inlineStr">
        <is>
          <t>7B</t>
        </is>
      </c>
      <c r="B125" t="inlineStr">
        <is>
          <t>g</t>
        </is>
      </c>
      <c r="C125" t="inlineStr">
        <is>
          <t>clear</t>
        </is>
      </c>
      <c r="D125" t="inlineStr">
        <is>
          <t>clear</t>
        </is>
      </c>
      <c r="E125" t="inlineStr">
        <is>
          <t>clear</t>
        </is>
      </c>
      <c r="F125" t="inlineStr">
        <is>
          <t>clear</t>
        </is>
      </c>
      <c r="G125" t="inlineStr">
        <is>
          <t>clear</t>
        </is>
      </c>
      <c r="H125" t="inlineStr">
        <is>
          <t>4</t>
        </is>
      </c>
      <c r="I125" t="inlineStr">
        <is>
          <t>clear</t>
        </is>
      </c>
      <c r="J125" t="inlineStr">
        <is>
          <t>n</t>
        </is>
      </c>
      <c r="K125" t="inlineStr">
        <is>
          <t>clear</t>
        </is>
      </c>
    </row>
    <row r="126">
      <c r="A126" t="inlineStr">
        <is>
          <t>7C</t>
        </is>
      </c>
      <c r="B126" t="inlineStr">
        <is>
          <t>z</t>
        </is>
      </c>
      <c r="C126" t="inlineStr">
        <is>
          <t>clear</t>
        </is>
      </c>
      <c r="D126" t="inlineStr">
        <is>
          <t>clear</t>
        </is>
      </c>
      <c r="E126" t="inlineStr">
        <is>
          <t>clear</t>
        </is>
      </c>
      <c r="F126" t="inlineStr">
        <is>
          <t>clear</t>
        </is>
      </c>
      <c r="G126" t="inlineStr">
        <is>
          <t>clear</t>
        </is>
      </c>
      <c r="H126" t="inlineStr">
        <is>
          <t>4</t>
        </is>
      </c>
      <c r="I126" t="inlineStr">
        <is>
          <t>clear</t>
        </is>
      </c>
      <c r="J126" t="inlineStr">
        <is>
          <t>R</t>
        </is>
      </c>
      <c r="K126" t="inlineStr">
        <is>
          <t>clear</t>
        </is>
      </c>
    </row>
    <row r="127">
      <c r="A127" t="inlineStr">
        <is>
          <t>7D</t>
        </is>
      </c>
      <c r="B127" t="inlineStr">
        <is>
          <t>?</t>
        </is>
      </c>
      <c r="C127" t="inlineStr">
        <is>
          <t>clear</t>
        </is>
      </c>
      <c r="D127" t="inlineStr">
        <is>
          <t>clear</t>
        </is>
      </c>
      <c r="E127" t="inlineStr">
        <is>
          <t>clear</t>
        </is>
      </c>
      <c r="F127" t="inlineStr">
        <is>
          <t>clear</t>
        </is>
      </c>
      <c r="G127" t="inlineStr">
        <is>
          <t>clear</t>
        </is>
      </c>
      <c r="H127" t="inlineStr">
        <is>
          <t>4</t>
        </is>
      </c>
      <c r="I127" t="inlineStr">
        <is>
          <t>clear</t>
        </is>
      </c>
      <c r="J127" t="inlineStr">
        <is>
          <t>l</t>
        </is>
      </c>
      <c r="K127" t="inlineStr">
        <is>
          <t>clear</t>
        </is>
      </c>
    </row>
    <row r="128">
      <c r="A128" t="inlineStr">
        <is>
          <t>7E</t>
        </is>
      </c>
      <c r="B128" t="inlineStr">
        <is>
          <t>d</t>
        </is>
      </c>
      <c r="C128" t="inlineStr">
        <is>
          <t>clear</t>
        </is>
      </c>
      <c r="D128" t="inlineStr">
        <is>
          <t>clear</t>
        </is>
      </c>
      <c r="E128" t="inlineStr">
        <is>
          <t>clear</t>
        </is>
      </c>
      <c r="F128" t="inlineStr">
        <is>
          <t>clear</t>
        </is>
      </c>
      <c r="G128" t="inlineStr">
        <is>
          <t>clear</t>
        </is>
      </c>
      <c r="H128" t="inlineStr">
        <is>
          <t>4</t>
        </is>
      </c>
      <c r="I128" t="inlineStr">
        <is>
          <t>clear</t>
        </is>
      </c>
      <c r="J128" t="inlineStr">
        <is>
          <t>l</t>
        </is>
      </c>
      <c r="K128" t="inlineStr">
        <is>
          <t>clear</t>
        </is>
      </c>
    </row>
    <row r="129">
      <c r="A129" t="inlineStr">
        <is>
          <t>7F</t>
        </is>
      </c>
      <c r="B129" t="inlineStr">
        <is>
          <t>b</t>
        </is>
      </c>
      <c r="C129" t="inlineStr">
        <is>
          <t>clear</t>
        </is>
      </c>
      <c r="D129" t="inlineStr">
        <is>
          <t>clear</t>
        </is>
      </c>
      <c r="E129" t="inlineStr">
        <is>
          <t>clear</t>
        </is>
      </c>
      <c r="F129" t="inlineStr">
        <is>
          <t>clear</t>
        </is>
      </c>
      <c r="G129" t="inlineStr">
        <is>
          <t>clear</t>
        </is>
      </c>
      <c r="H129" t="inlineStr">
        <is>
          <t>t</t>
        </is>
      </c>
      <c r="I129" t="inlineStr">
        <is>
          <t>clear</t>
        </is>
      </c>
      <c r="J129" t="inlineStr">
        <is>
          <t>k</t>
        </is>
      </c>
      <c r="K129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</t>
        </is>
      </c>
      <c r="B1" t="inlineStr">
        <is>
          <t>name</t>
        </is>
      </c>
      <c r="C1" t="inlineStr">
        <is>
          <t>alias</t>
        </is>
      </c>
      <c r="D1" t="inlineStr">
        <is>
          <t>crossref</t>
        </is>
      </c>
    </row>
    <row r="2">
      <c r="A2" t="inlineStr">
        <is>
          <t>0900</t>
        </is>
      </c>
      <c r="B2" t="inlineStr">
        <is>
          <t xml:space="preserve">DEVANAGARI SIGN INVERTED CANDRABINDU </t>
        </is>
      </c>
      <c r="C2">
        <f> vaidika adhomukha candrabindu</f>
        <v/>
      </c>
      <c r="D2" t="inlineStr"/>
    </row>
    <row r="3">
      <c r="A3" t="inlineStr">
        <is>
          <t>0901</t>
        </is>
      </c>
      <c r="B3" t="inlineStr">
        <is>
          <t xml:space="preserve">DEVANAGARI SIGN CANDRABINDU </t>
        </is>
      </c>
      <c r="C3">
        <f> anunasika</f>
        <v/>
      </c>
      <c r="D3" t="inlineStr">
        <is>
          <t>x (combining candrabindu - 0310)</t>
        </is>
      </c>
    </row>
    <row r="4">
      <c r="A4" t="inlineStr">
        <is>
          <t>0902</t>
        </is>
      </c>
      <c r="B4" t="inlineStr">
        <is>
          <t xml:space="preserve">DEVANAGARI SIGN ANUSVARA </t>
        </is>
      </c>
      <c r="C4">
        <f> bindu</f>
        <v/>
      </c>
      <c r="D4" t="inlineStr"/>
    </row>
    <row r="5">
      <c r="A5" t="inlineStr">
        <is>
          <t>0903</t>
        </is>
      </c>
      <c r="B5" t="inlineStr">
        <is>
          <t>DEVANAGARI SIGN VISARGA</t>
        </is>
      </c>
      <c r="C5" t="inlineStr"/>
      <c r="D5" t="inlineStr"/>
    </row>
    <row r="6">
      <c r="A6" t="inlineStr">
        <is>
          <t>0904</t>
        </is>
      </c>
      <c r="B6" t="inlineStr">
        <is>
          <t xml:space="preserve">DEVANAGARI LETTER SHORT A </t>
        </is>
      </c>
      <c r="C6" t="inlineStr"/>
      <c r="D6" t="inlineStr"/>
    </row>
    <row r="7">
      <c r="A7" t="inlineStr">
        <is>
          <t>0905</t>
        </is>
      </c>
      <c r="B7" t="inlineStr">
        <is>
          <t>DEVANAGARI LETTER A</t>
        </is>
      </c>
      <c r="C7" t="inlineStr"/>
      <c r="D7" t="inlineStr"/>
    </row>
    <row r="8">
      <c r="A8" t="inlineStr">
        <is>
          <t>0906</t>
        </is>
      </c>
      <c r="B8" t="inlineStr">
        <is>
          <t>DEVANAGARI LETTER AA</t>
        </is>
      </c>
      <c r="C8" t="inlineStr"/>
      <c r="D8" t="inlineStr"/>
    </row>
    <row r="9">
      <c r="A9" t="inlineStr">
        <is>
          <t>0907</t>
        </is>
      </c>
      <c r="B9" t="inlineStr">
        <is>
          <t>DEVANAGARI LETTER I</t>
        </is>
      </c>
      <c r="C9" t="inlineStr"/>
      <c r="D9" t="inlineStr"/>
    </row>
    <row r="10">
      <c r="A10" t="inlineStr">
        <is>
          <t>0908</t>
        </is>
      </c>
      <c r="B10" t="inlineStr">
        <is>
          <t>DEVANAGARI LETTER II</t>
        </is>
      </c>
      <c r="C10" t="inlineStr"/>
      <c r="D10" t="inlineStr"/>
    </row>
    <row r="11">
      <c r="A11" t="inlineStr">
        <is>
          <t>0909</t>
        </is>
      </c>
      <c r="B11" t="inlineStr">
        <is>
          <t>DEVANAGARI LETTER U</t>
        </is>
      </c>
      <c r="C11" t="inlineStr"/>
      <c r="D11" t="inlineStr"/>
    </row>
    <row r="12">
      <c r="A12" t="inlineStr">
        <is>
          <t>090A</t>
        </is>
      </c>
      <c r="B12" t="inlineStr">
        <is>
          <t>DEVANAGARI LETTER UU</t>
        </is>
      </c>
      <c r="C12" t="inlineStr"/>
      <c r="D12" t="inlineStr"/>
    </row>
    <row r="13">
      <c r="A13" t="inlineStr">
        <is>
          <t>090B</t>
        </is>
      </c>
      <c r="B13" t="inlineStr">
        <is>
          <t>DEVANAGARI LETTER VOCALIC R</t>
        </is>
      </c>
      <c r="C13" t="inlineStr"/>
      <c r="D13" t="inlineStr"/>
    </row>
    <row r="14">
      <c r="A14" t="inlineStr">
        <is>
          <t>090C</t>
        </is>
      </c>
      <c r="B14" t="inlineStr">
        <is>
          <t>DEVANAGARI LETTER VOCALIC L</t>
        </is>
      </c>
      <c r="C14" t="inlineStr"/>
      <c r="D14" t="inlineStr"/>
    </row>
    <row r="15">
      <c r="A15" t="inlineStr">
        <is>
          <t>090D</t>
        </is>
      </c>
      <c r="B15" t="inlineStr">
        <is>
          <t>DEVANAGARI LETTER CANDRA E</t>
        </is>
      </c>
      <c r="C15" t="inlineStr"/>
      <c r="D15" t="inlineStr"/>
    </row>
    <row r="16">
      <c r="A16" t="inlineStr">
        <is>
          <t>090E</t>
        </is>
      </c>
      <c r="B16" t="inlineStr">
        <is>
          <t xml:space="preserve">DEVANAGARI LETTER SHORT E </t>
        </is>
      </c>
      <c r="C16" t="inlineStr"/>
      <c r="D16" t="inlineStr"/>
    </row>
    <row r="17">
      <c r="A17" t="inlineStr">
        <is>
          <t>090F</t>
        </is>
      </c>
      <c r="B17" t="inlineStr">
        <is>
          <t>DEVANAGARI LETTER E</t>
        </is>
      </c>
      <c r="C17" t="inlineStr"/>
      <c r="D17" t="inlineStr"/>
    </row>
    <row r="18">
      <c r="A18" t="inlineStr">
        <is>
          <t>0910</t>
        </is>
      </c>
      <c r="B18" t="inlineStr">
        <is>
          <t>DEVANAGARI LETTER AI</t>
        </is>
      </c>
      <c r="C18" t="inlineStr"/>
      <c r="D18" t="inlineStr"/>
    </row>
    <row r="19">
      <c r="A19" t="inlineStr">
        <is>
          <t>0911</t>
        </is>
      </c>
      <c r="B19" t="inlineStr">
        <is>
          <t>DEVANAGARI LETTER CANDRA O</t>
        </is>
      </c>
      <c r="C19" t="inlineStr"/>
      <c r="D19" t="inlineStr"/>
    </row>
    <row r="20">
      <c r="A20" t="inlineStr">
        <is>
          <t>0912</t>
        </is>
      </c>
      <c r="B20" t="inlineStr">
        <is>
          <t xml:space="preserve">DEVANAGARI LETTER SHORT O </t>
        </is>
      </c>
      <c r="C20" t="inlineStr"/>
      <c r="D20" t="inlineStr"/>
    </row>
    <row r="21">
      <c r="A21" t="inlineStr">
        <is>
          <t>0913</t>
        </is>
      </c>
      <c r="B21" t="inlineStr">
        <is>
          <t>DEVANAGARI LETTER O</t>
        </is>
      </c>
      <c r="C21" t="inlineStr"/>
      <c r="D21" t="inlineStr"/>
    </row>
    <row r="22">
      <c r="A22" t="inlineStr">
        <is>
          <t>0914</t>
        </is>
      </c>
      <c r="B22" t="inlineStr">
        <is>
          <t>DEVANAGARI LETTER AU</t>
        </is>
      </c>
      <c r="C22" t="inlineStr"/>
      <c r="D22" t="inlineStr"/>
    </row>
    <row r="23">
      <c r="A23" t="inlineStr">
        <is>
          <t>0915</t>
        </is>
      </c>
      <c r="B23" t="inlineStr">
        <is>
          <t>DEVANAGARI LETTER KA</t>
        </is>
      </c>
      <c r="C23" t="inlineStr"/>
      <c r="D23" t="inlineStr"/>
    </row>
    <row r="24">
      <c r="A24" t="inlineStr">
        <is>
          <t>0916</t>
        </is>
      </c>
      <c r="B24" t="inlineStr">
        <is>
          <t>DEVANAGARI LETTER KHA</t>
        </is>
      </c>
      <c r="C24" t="inlineStr"/>
      <c r="D24" t="inlineStr"/>
    </row>
    <row r="25">
      <c r="A25" t="inlineStr">
        <is>
          <t>0917</t>
        </is>
      </c>
      <c r="B25" t="inlineStr">
        <is>
          <t>DEVANAGARI LETTER GA</t>
        </is>
      </c>
      <c r="C25" t="inlineStr"/>
      <c r="D25" t="inlineStr"/>
    </row>
    <row r="26">
      <c r="A26" t="inlineStr">
        <is>
          <t>0918</t>
        </is>
      </c>
      <c r="B26" t="inlineStr">
        <is>
          <t>DEVANAGARI LETTER GHA</t>
        </is>
      </c>
      <c r="C26" t="inlineStr"/>
      <c r="D26" t="inlineStr"/>
    </row>
    <row r="27">
      <c r="A27" t="inlineStr">
        <is>
          <t>0919</t>
        </is>
      </c>
      <c r="B27" t="inlineStr">
        <is>
          <t>DEVANAGARI LETTER NGA</t>
        </is>
      </c>
      <c r="C27" t="inlineStr"/>
      <c r="D27" t="inlineStr"/>
    </row>
    <row r="28">
      <c r="A28" t="inlineStr">
        <is>
          <t>091A</t>
        </is>
      </c>
      <c r="B28" t="inlineStr">
        <is>
          <t>DEVANAGARI LETTER CA</t>
        </is>
      </c>
      <c r="C28" t="inlineStr"/>
      <c r="D28" t="inlineStr"/>
    </row>
    <row r="29">
      <c r="A29" t="inlineStr">
        <is>
          <t>091B</t>
        </is>
      </c>
      <c r="B29" t="inlineStr">
        <is>
          <t>DEVANAGARI LETTER CHA</t>
        </is>
      </c>
      <c r="C29" t="inlineStr"/>
      <c r="D29" t="inlineStr"/>
    </row>
    <row r="30">
      <c r="A30" t="inlineStr">
        <is>
          <t>091C</t>
        </is>
      </c>
      <c r="B30" t="inlineStr">
        <is>
          <t>DEVANAGARI LETTER JA</t>
        </is>
      </c>
      <c r="C30" t="inlineStr"/>
      <c r="D30" t="inlineStr"/>
    </row>
    <row r="31">
      <c r="A31" t="inlineStr">
        <is>
          <t>091D</t>
        </is>
      </c>
      <c r="B31" t="inlineStr">
        <is>
          <t>DEVANAGARI LETTER JHA</t>
        </is>
      </c>
      <c r="C31" t="inlineStr"/>
      <c r="D31" t="inlineStr"/>
    </row>
    <row r="32">
      <c r="A32" t="inlineStr">
        <is>
          <t>091E</t>
        </is>
      </c>
      <c r="B32" t="inlineStr">
        <is>
          <t>DEVANAGARI LETTER NYA</t>
        </is>
      </c>
      <c r="C32" t="inlineStr"/>
      <c r="D32" t="inlineStr"/>
    </row>
    <row r="33">
      <c r="A33" t="inlineStr">
        <is>
          <t>091F</t>
        </is>
      </c>
      <c r="B33" t="inlineStr">
        <is>
          <t>DEVANAGARI LETTER TTA</t>
        </is>
      </c>
      <c r="C33" t="inlineStr"/>
      <c r="D33" t="inlineStr"/>
    </row>
    <row r="34">
      <c r="A34" t="inlineStr">
        <is>
          <t>0920</t>
        </is>
      </c>
      <c r="B34" t="inlineStr">
        <is>
          <t>DEVANAGARI LETTER TTHA</t>
        </is>
      </c>
      <c r="C34" t="inlineStr"/>
      <c r="D34" t="inlineStr"/>
    </row>
    <row r="35">
      <c r="A35" t="inlineStr">
        <is>
          <t>0921</t>
        </is>
      </c>
      <c r="B35" t="inlineStr">
        <is>
          <t>DEVANAGARI LETTER DDA</t>
        </is>
      </c>
      <c r="C35" t="inlineStr"/>
      <c r="D35" t="inlineStr"/>
    </row>
    <row r="36">
      <c r="A36" t="inlineStr">
        <is>
          <t>0922</t>
        </is>
      </c>
      <c r="B36" t="inlineStr">
        <is>
          <t>DEVANAGARI LETTER DDHA</t>
        </is>
      </c>
      <c r="C36" t="inlineStr"/>
      <c r="D36" t="inlineStr"/>
    </row>
    <row r="37">
      <c r="A37" t="inlineStr">
        <is>
          <t>0923</t>
        </is>
      </c>
      <c r="B37" t="inlineStr">
        <is>
          <t>DEVANAGARI LETTER NNA</t>
        </is>
      </c>
      <c r="C37" t="inlineStr"/>
      <c r="D37" t="inlineStr"/>
    </row>
    <row r="38">
      <c r="A38" t="inlineStr">
        <is>
          <t>0924</t>
        </is>
      </c>
      <c r="B38" t="inlineStr">
        <is>
          <t>DEVANAGARI LETTER TA</t>
        </is>
      </c>
      <c r="C38" t="inlineStr"/>
      <c r="D38" t="inlineStr"/>
    </row>
    <row r="39">
      <c r="A39" t="inlineStr">
        <is>
          <t>0925</t>
        </is>
      </c>
      <c r="B39" t="inlineStr">
        <is>
          <t>DEVANAGARI LETTER THA</t>
        </is>
      </c>
      <c r="C39" t="inlineStr"/>
      <c r="D39" t="inlineStr"/>
    </row>
    <row r="40">
      <c r="A40" t="inlineStr">
        <is>
          <t>0926</t>
        </is>
      </c>
      <c r="B40" t="inlineStr">
        <is>
          <t>DEVANAGARI LETTER DA</t>
        </is>
      </c>
      <c r="C40" t="inlineStr"/>
      <c r="D40" t="inlineStr"/>
    </row>
    <row r="41">
      <c r="A41" t="inlineStr">
        <is>
          <t>0927</t>
        </is>
      </c>
      <c r="B41" t="inlineStr">
        <is>
          <t>DEVANAGARI LETTER DHA</t>
        </is>
      </c>
      <c r="C41" t="inlineStr"/>
      <c r="D41" t="inlineStr"/>
    </row>
    <row r="42">
      <c r="A42" t="inlineStr">
        <is>
          <t>0928</t>
        </is>
      </c>
      <c r="B42" t="inlineStr">
        <is>
          <t>DEVANAGARI LETTER NA</t>
        </is>
      </c>
      <c r="C42" t="inlineStr"/>
      <c r="D42" t="inlineStr"/>
    </row>
    <row r="43">
      <c r="A43" t="inlineStr">
        <is>
          <t>0929</t>
        </is>
      </c>
      <c r="B43" t="inlineStr">
        <is>
          <t xml:space="preserve">DEVANAGARI LETTER NNNA </t>
        </is>
      </c>
      <c r="C43" t="inlineStr"/>
      <c r="D43" t="inlineStr"/>
    </row>
    <row r="44">
      <c r="A44" t="inlineStr">
        <is>
          <t>092A</t>
        </is>
      </c>
      <c r="B44" t="inlineStr">
        <is>
          <t>DEVANAGARI LETTER PA</t>
        </is>
      </c>
      <c r="C44" t="inlineStr"/>
      <c r="D44" t="inlineStr"/>
    </row>
    <row r="45">
      <c r="A45" t="inlineStr">
        <is>
          <t>092B</t>
        </is>
      </c>
      <c r="B45" t="inlineStr">
        <is>
          <t>DEVANAGARI LETTER PHA</t>
        </is>
      </c>
      <c r="C45" t="inlineStr"/>
      <c r="D45" t="inlineStr"/>
    </row>
    <row r="46">
      <c r="A46" t="inlineStr">
        <is>
          <t>092C</t>
        </is>
      </c>
      <c r="B46" t="inlineStr">
        <is>
          <t>DEVANAGARI LETTER BA</t>
        </is>
      </c>
      <c r="C46" t="inlineStr"/>
      <c r="D46" t="inlineStr"/>
    </row>
    <row r="47">
      <c r="A47" t="inlineStr">
        <is>
          <t>092D</t>
        </is>
      </c>
      <c r="B47" t="inlineStr">
        <is>
          <t>DEVANAGARI LETTER BHA</t>
        </is>
      </c>
      <c r="C47" t="inlineStr"/>
      <c r="D47" t="inlineStr"/>
    </row>
    <row r="48">
      <c r="A48" t="inlineStr">
        <is>
          <t>092E</t>
        </is>
      </c>
      <c r="B48" t="inlineStr">
        <is>
          <t>DEVANAGARI LETTER MA</t>
        </is>
      </c>
      <c r="C48" t="inlineStr"/>
      <c r="D48" t="inlineStr"/>
    </row>
    <row r="49">
      <c r="A49" t="inlineStr">
        <is>
          <t>092F</t>
        </is>
      </c>
      <c r="B49" t="inlineStr">
        <is>
          <t>DEVANAGARI LETTER YA</t>
        </is>
      </c>
      <c r="C49" t="inlineStr"/>
      <c r="D49" t="inlineStr"/>
    </row>
    <row r="50">
      <c r="A50" t="inlineStr">
        <is>
          <t>0930</t>
        </is>
      </c>
      <c r="B50" t="inlineStr">
        <is>
          <t>DEVANAGARI LETTER RA</t>
        </is>
      </c>
      <c r="C50" t="inlineStr"/>
      <c r="D50" t="inlineStr"/>
    </row>
    <row r="51">
      <c r="A51" t="inlineStr">
        <is>
          <t>0931</t>
        </is>
      </c>
      <c r="B51" t="inlineStr">
        <is>
          <t xml:space="preserve">DEVANAGARI LETTER RRA </t>
        </is>
      </c>
      <c r="C51" t="inlineStr"/>
      <c r="D51" t="inlineStr"/>
    </row>
    <row r="52">
      <c r="A52" t="inlineStr">
        <is>
          <t>0932</t>
        </is>
      </c>
      <c r="B52" t="inlineStr">
        <is>
          <t>DEVANAGARI LETTER LA</t>
        </is>
      </c>
      <c r="C52" t="inlineStr"/>
      <c r="D52" t="inlineStr"/>
    </row>
    <row r="53">
      <c r="A53" t="inlineStr">
        <is>
          <t>0933</t>
        </is>
      </c>
      <c r="B53" t="inlineStr">
        <is>
          <t>DEVANAGARI LETTER LLA</t>
        </is>
      </c>
      <c r="C53" t="inlineStr"/>
      <c r="D53" t="inlineStr"/>
    </row>
    <row r="54">
      <c r="A54" t="inlineStr">
        <is>
          <t>0934</t>
        </is>
      </c>
      <c r="B54" t="inlineStr">
        <is>
          <t xml:space="preserve">DEVANAGARI LETTER LLLA </t>
        </is>
      </c>
      <c r="C54" t="inlineStr"/>
      <c r="D54" t="inlineStr"/>
    </row>
    <row r="55">
      <c r="A55" t="inlineStr">
        <is>
          <t>0935</t>
        </is>
      </c>
      <c r="B55" t="inlineStr">
        <is>
          <t>DEVANAGARI LETTER VA</t>
        </is>
      </c>
      <c r="C55" t="inlineStr"/>
      <c r="D55" t="inlineStr"/>
    </row>
    <row r="56">
      <c r="A56" t="inlineStr">
        <is>
          <t>0936</t>
        </is>
      </c>
      <c r="B56" t="inlineStr">
        <is>
          <t>DEVANAGARI LETTER SHA</t>
        </is>
      </c>
      <c r="C56" t="inlineStr"/>
      <c r="D56" t="inlineStr"/>
    </row>
    <row r="57">
      <c r="A57" t="inlineStr">
        <is>
          <t>0937</t>
        </is>
      </c>
      <c r="B57" t="inlineStr">
        <is>
          <t>DEVANAGARI LETTER SSA</t>
        </is>
      </c>
      <c r="C57" t="inlineStr"/>
      <c r="D57" t="inlineStr"/>
    </row>
    <row r="58">
      <c r="A58" t="inlineStr">
        <is>
          <t>0938</t>
        </is>
      </c>
      <c r="B58" t="inlineStr">
        <is>
          <t>DEVANAGARI LETTER SA</t>
        </is>
      </c>
      <c r="C58" t="inlineStr"/>
      <c r="D58" t="inlineStr"/>
    </row>
    <row r="59">
      <c r="A59" t="inlineStr">
        <is>
          <t>0939</t>
        </is>
      </c>
      <c r="B59" t="inlineStr">
        <is>
          <t>DEVANAGARI LETTER HA</t>
        </is>
      </c>
      <c r="C59" t="inlineStr"/>
      <c r="D59" t="inlineStr"/>
    </row>
    <row r="60">
      <c r="A60" t="inlineStr">
        <is>
          <t>093A</t>
        </is>
      </c>
      <c r="B60" t="inlineStr">
        <is>
          <t>DEVANAGARI VOWEL SIGN OE</t>
        </is>
      </c>
      <c r="C60" t="inlineStr"/>
      <c r="D60" t="inlineStr"/>
    </row>
    <row r="61">
      <c r="A61" t="inlineStr">
        <is>
          <t>093B</t>
        </is>
      </c>
      <c r="B61" t="inlineStr">
        <is>
          <t>DEVANAGARI VOWEL SIGN OOE</t>
        </is>
      </c>
      <c r="C61" t="inlineStr"/>
      <c r="D61" t="inlineStr"/>
    </row>
    <row r="62">
      <c r="A62" t="inlineStr">
        <is>
          <t>093C</t>
        </is>
      </c>
      <c r="B62" t="inlineStr">
        <is>
          <t xml:space="preserve">DEVANAGARI SIGN NUKTA </t>
        </is>
      </c>
      <c r="C62" t="inlineStr"/>
      <c r="D62" t="inlineStr"/>
    </row>
    <row r="63">
      <c r="A63" t="inlineStr">
        <is>
          <t>093D</t>
        </is>
      </c>
      <c r="B63" t="inlineStr">
        <is>
          <t>DEVANAGARI SIGN AVAGRAHA</t>
        </is>
      </c>
      <c r="C63" t="inlineStr"/>
      <c r="D63" t="inlineStr"/>
    </row>
    <row r="64">
      <c r="A64" t="inlineStr">
        <is>
          <t>093E</t>
        </is>
      </c>
      <c r="B64" t="inlineStr">
        <is>
          <t>DEVANAGARI VOWEL SIGN AA</t>
        </is>
      </c>
      <c r="C64" t="inlineStr"/>
      <c r="D64" t="inlineStr"/>
    </row>
    <row r="65">
      <c r="A65" t="inlineStr">
        <is>
          <t>093F</t>
        </is>
      </c>
      <c r="B65" t="inlineStr">
        <is>
          <t xml:space="preserve">DEVANAGARI VOWEL SIGN I </t>
        </is>
      </c>
      <c r="C65" t="inlineStr"/>
      <c r="D65" t="inlineStr"/>
    </row>
    <row r="66">
      <c r="A66" t="inlineStr">
        <is>
          <t>0940</t>
        </is>
      </c>
      <c r="B66" t="inlineStr">
        <is>
          <t>DEVANAGARI VOWEL SIGN II</t>
        </is>
      </c>
      <c r="C66" t="inlineStr"/>
      <c r="D66" t="inlineStr"/>
    </row>
    <row r="67">
      <c r="A67" t="inlineStr">
        <is>
          <t>0941</t>
        </is>
      </c>
      <c r="B67" t="inlineStr">
        <is>
          <t>DEVANAGARI VOWEL SIGN U</t>
        </is>
      </c>
      <c r="C67" t="inlineStr"/>
      <c r="D67" t="inlineStr"/>
    </row>
    <row r="68">
      <c r="A68" t="inlineStr">
        <is>
          <t>0942</t>
        </is>
      </c>
      <c r="B68" t="inlineStr">
        <is>
          <t>DEVANAGARI VOWEL SIGN UU</t>
        </is>
      </c>
      <c r="C68" t="inlineStr"/>
      <c r="D68" t="inlineStr"/>
    </row>
    <row r="69">
      <c r="A69" t="inlineStr">
        <is>
          <t>0943</t>
        </is>
      </c>
      <c r="B69" t="inlineStr">
        <is>
          <t>DEVANAGARI VOWEL SIGN VOCALIC R</t>
        </is>
      </c>
      <c r="C69" t="inlineStr"/>
      <c r="D69" t="inlineStr"/>
    </row>
    <row r="70">
      <c r="A70" t="inlineStr">
        <is>
          <t>0944</t>
        </is>
      </c>
      <c r="B70" t="inlineStr">
        <is>
          <t>DEVANAGARI VOWEL SIGN VOCALIC RR</t>
        </is>
      </c>
      <c r="C70" t="inlineStr"/>
      <c r="D70" t="inlineStr"/>
    </row>
    <row r="71">
      <c r="A71" t="inlineStr">
        <is>
          <t>0945</t>
        </is>
      </c>
      <c r="B71" t="inlineStr">
        <is>
          <t xml:space="preserve">DEVANAGARI VOWEL SIGN CANDRA E </t>
        </is>
      </c>
      <c r="C71">
        <f> candra</f>
        <v/>
      </c>
      <c r="D71" t="inlineStr"/>
    </row>
    <row r="72">
      <c r="A72" t="inlineStr">
        <is>
          <t>0946</t>
        </is>
      </c>
      <c r="B72" t="inlineStr">
        <is>
          <t xml:space="preserve">DEVANAGARI VOWEL SIGN SHORT E </t>
        </is>
      </c>
      <c r="C72" t="inlineStr"/>
      <c r="D72" t="inlineStr"/>
    </row>
    <row r="73">
      <c r="A73" t="inlineStr">
        <is>
          <t>0947</t>
        </is>
      </c>
      <c r="B73" t="inlineStr">
        <is>
          <t>DEVANAGARI VOWEL SIGN E</t>
        </is>
      </c>
      <c r="C73" t="inlineStr"/>
      <c r="D73" t="inlineStr"/>
    </row>
    <row r="74">
      <c r="A74" t="inlineStr">
        <is>
          <t>0948</t>
        </is>
      </c>
      <c r="B74" t="inlineStr">
        <is>
          <t>DEVANAGARI VOWEL SIGN AI</t>
        </is>
      </c>
      <c r="C74" t="inlineStr"/>
      <c r="D74" t="inlineStr"/>
    </row>
    <row r="75">
      <c r="A75" t="inlineStr">
        <is>
          <t>0949</t>
        </is>
      </c>
      <c r="B75" t="inlineStr">
        <is>
          <t>DEVANAGARI VOWEL SIGN CANDRA O</t>
        </is>
      </c>
      <c r="C75" t="inlineStr"/>
      <c r="D75" t="inlineStr"/>
    </row>
    <row r="76">
      <c r="A76" t="inlineStr">
        <is>
          <t>094A</t>
        </is>
      </c>
      <c r="B76" t="inlineStr">
        <is>
          <t xml:space="preserve">DEVANAGARI VOWEL SIGN SHORT O </t>
        </is>
      </c>
      <c r="C76" t="inlineStr"/>
      <c r="D76" t="inlineStr"/>
    </row>
    <row r="77">
      <c r="A77" t="inlineStr">
        <is>
          <t>094B</t>
        </is>
      </c>
      <c r="B77" t="inlineStr">
        <is>
          <t>DEVANAGARI VOWEL SIGN O</t>
        </is>
      </c>
      <c r="C77" t="inlineStr"/>
      <c r="D77" t="inlineStr"/>
    </row>
    <row r="78">
      <c r="A78" t="inlineStr">
        <is>
          <t>094C</t>
        </is>
      </c>
      <c r="B78" t="inlineStr">
        <is>
          <t>DEVANAGARI VOWEL SIGN AU</t>
        </is>
      </c>
      <c r="C78" t="inlineStr"/>
      <c r="D78" t="inlineStr"/>
    </row>
    <row r="79">
      <c r="A79" t="inlineStr">
        <is>
          <t>094D</t>
        </is>
      </c>
      <c r="B79" t="inlineStr">
        <is>
          <t xml:space="preserve">DEVANAGARI SIGN VIRAMA </t>
        </is>
      </c>
      <c r="C79">
        <f> halant (the preferred Hindi name)</f>
        <v/>
      </c>
      <c r="D79" t="inlineStr"/>
    </row>
    <row r="80">
      <c r="A80" t="inlineStr">
        <is>
          <t>094E</t>
        </is>
      </c>
      <c r="B80" t="inlineStr">
        <is>
          <t xml:space="preserve">DEVANAGARI VOWEL SIGN PRISHTHAMATRA E </t>
        </is>
      </c>
      <c r="C80" t="inlineStr"/>
      <c r="D80" t="inlineStr"/>
    </row>
    <row r="81">
      <c r="A81" t="inlineStr">
        <is>
          <t>094F</t>
        </is>
      </c>
      <c r="B81" t="inlineStr">
        <is>
          <t xml:space="preserve">DEVANAGARI VOWEL SIGN AW </t>
        </is>
      </c>
      <c r="C81" t="inlineStr"/>
      <c r="D81" t="inlineStr"/>
    </row>
    <row r="82">
      <c r="A82" t="inlineStr">
        <is>
          <t>0950</t>
        </is>
      </c>
      <c r="B82" t="inlineStr">
        <is>
          <t xml:space="preserve">DEVANAGARI OM </t>
        </is>
      </c>
      <c r="C82" t="inlineStr"/>
      <c r="D82" t="inlineStr">
        <is>
          <t>x (om symbol - 1F549)</t>
        </is>
      </c>
    </row>
    <row r="83">
      <c r="A83" t="inlineStr">
        <is>
          <t>0951</t>
        </is>
      </c>
      <c r="B83" t="inlineStr">
        <is>
          <t xml:space="preserve">DEVANAGARI STRESS SIGN UDATTA </t>
        </is>
      </c>
      <c r="C83">
        <f> Vedic tone svarita</f>
        <v/>
      </c>
      <c r="D83" t="inlineStr">
        <is>
          <t>x (vedic tone double svarita - 1CDA)</t>
        </is>
      </c>
    </row>
    <row r="84">
      <c r="A84" t="inlineStr">
        <is>
          <t>0952</t>
        </is>
      </c>
      <c r="B84" t="inlineStr">
        <is>
          <t xml:space="preserve">DEVANAGARI STRESS SIGN ANUDATTA </t>
        </is>
      </c>
      <c r="C84">
        <f> Vedic tone anudatta</f>
        <v/>
      </c>
      <c r="D84" t="inlineStr">
        <is>
          <t>x (vedic tone kathaka anudatta - 1CDC)</t>
        </is>
      </c>
    </row>
    <row r="85">
      <c r="A85" t="inlineStr">
        <is>
          <t>0953</t>
        </is>
      </c>
      <c r="B85" t="inlineStr">
        <is>
          <t xml:space="preserve">DEVANAGARI GRAVE ACCENT </t>
        </is>
      </c>
      <c r="C85" t="inlineStr"/>
      <c r="D85" t="inlineStr">
        <is>
          <t>x (combining grave accent - 0300)</t>
        </is>
      </c>
    </row>
    <row r="86">
      <c r="A86" t="inlineStr">
        <is>
          <t>0954</t>
        </is>
      </c>
      <c r="B86" t="inlineStr">
        <is>
          <t xml:space="preserve">DEVANAGARI ACUTE ACCENT </t>
        </is>
      </c>
      <c r="C86" t="inlineStr"/>
      <c r="D86" t="inlineStr">
        <is>
          <t>x (combining acute accent - 0301)</t>
        </is>
      </c>
    </row>
    <row r="87">
      <c r="A87" t="inlineStr">
        <is>
          <t>0955</t>
        </is>
      </c>
      <c r="B87" t="inlineStr">
        <is>
          <t xml:space="preserve">DEVANAGARI VOWEL SIGN CANDRA LONG E </t>
        </is>
      </c>
      <c r="C87" t="inlineStr"/>
      <c r="D87" t="inlineStr"/>
    </row>
    <row r="88">
      <c r="A88" t="inlineStr">
        <is>
          <t>0956</t>
        </is>
      </c>
      <c r="B88" t="inlineStr">
        <is>
          <t>DEVANAGARI VOWEL SIGN UE</t>
        </is>
      </c>
      <c r="C88" t="inlineStr"/>
      <c r="D88" t="inlineStr"/>
    </row>
    <row r="89">
      <c r="A89" t="inlineStr">
        <is>
          <t>0957</t>
        </is>
      </c>
      <c r="B89" t="inlineStr">
        <is>
          <t>DEVANAGARI VOWEL SIGN UUE</t>
        </is>
      </c>
      <c r="C89" t="inlineStr"/>
      <c r="D89" t="inlineStr"/>
    </row>
    <row r="90">
      <c r="A90" t="inlineStr">
        <is>
          <t>0958</t>
        </is>
      </c>
      <c r="B90" t="inlineStr">
        <is>
          <t xml:space="preserve">DEVANAGARI LETTER QA </t>
        </is>
      </c>
      <c r="C90" t="inlineStr"/>
      <c r="D90" t="inlineStr"/>
    </row>
    <row r="91">
      <c r="A91" t="inlineStr">
        <is>
          <t>0959</t>
        </is>
      </c>
      <c r="B91" t="inlineStr">
        <is>
          <t xml:space="preserve">DEVANAGARI LETTER KHHA </t>
        </is>
      </c>
      <c r="C91" t="inlineStr"/>
      <c r="D91" t="inlineStr"/>
    </row>
    <row r="92">
      <c r="A92" t="inlineStr">
        <is>
          <t>095A</t>
        </is>
      </c>
      <c r="B92" t="inlineStr">
        <is>
          <t xml:space="preserve">DEVANAGARI LETTER GHHA </t>
        </is>
      </c>
      <c r="C92" t="inlineStr"/>
      <c r="D92" t="inlineStr"/>
    </row>
    <row r="93">
      <c r="A93" t="inlineStr">
        <is>
          <t>095B</t>
        </is>
      </c>
      <c r="B93" t="inlineStr">
        <is>
          <t xml:space="preserve">DEVANAGARI LETTER ZA </t>
        </is>
      </c>
      <c r="C93" t="inlineStr"/>
      <c r="D93" t="inlineStr"/>
    </row>
    <row r="94">
      <c r="A94" t="inlineStr">
        <is>
          <t>095C</t>
        </is>
      </c>
      <c r="B94" t="inlineStr">
        <is>
          <t xml:space="preserve">DEVANAGARI LETTER DDDHA </t>
        </is>
      </c>
      <c r="C94" t="inlineStr"/>
      <c r="D94" t="inlineStr"/>
    </row>
    <row r="95">
      <c r="A95" t="inlineStr">
        <is>
          <t>095D</t>
        </is>
      </c>
      <c r="B95" t="inlineStr">
        <is>
          <t xml:space="preserve">DEVANAGARI LETTER RHA </t>
        </is>
      </c>
      <c r="C95" t="inlineStr"/>
      <c r="D95" t="inlineStr"/>
    </row>
    <row r="96">
      <c r="A96" t="inlineStr">
        <is>
          <t>095E</t>
        </is>
      </c>
      <c r="B96" t="inlineStr">
        <is>
          <t xml:space="preserve">DEVANAGARI LETTER FA </t>
        </is>
      </c>
      <c r="C96" t="inlineStr"/>
      <c r="D96" t="inlineStr"/>
    </row>
    <row r="97">
      <c r="A97" t="inlineStr">
        <is>
          <t>095F</t>
        </is>
      </c>
      <c r="B97" t="inlineStr">
        <is>
          <t xml:space="preserve">DEVANAGARI LETTER YYA </t>
        </is>
      </c>
      <c r="C97" t="inlineStr"/>
      <c r="D97" t="inlineStr"/>
    </row>
    <row r="98">
      <c r="A98" t="inlineStr">
        <is>
          <t>0960</t>
        </is>
      </c>
      <c r="B98" t="inlineStr">
        <is>
          <t>DEVANAGARI LETTER VOCALIC RR</t>
        </is>
      </c>
      <c r="C98" t="inlineStr"/>
      <c r="D98" t="inlineStr"/>
    </row>
    <row r="99">
      <c r="A99" t="inlineStr">
        <is>
          <t>0961</t>
        </is>
      </c>
      <c r="B99" t="inlineStr">
        <is>
          <t>DEVANAGARI LETTER VOCALIC LL</t>
        </is>
      </c>
      <c r="C99" t="inlineStr"/>
      <c r="D99" t="inlineStr"/>
    </row>
    <row r="100">
      <c r="A100" t="inlineStr">
        <is>
          <t>0962</t>
        </is>
      </c>
      <c r="B100" t="inlineStr">
        <is>
          <t>DEVANAGARI VOWEL SIGN VOCALIC L</t>
        </is>
      </c>
      <c r="C100" t="inlineStr"/>
      <c r="D100" t="inlineStr"/>
    </row>
    <row r="101">
      <c r="A101" t="inlineStr">
        <is>
          <t>0963</t>
        </is>
      </c>
      <c r="B101" t="inlineStr">
        <is>
          <t>DEVANAGARI VOWEL SIGN VOCALIC LL</t>
        </is>
      </c>
      <c r="C101" t="inlineStr"/>
      <c r="D101" t="inlineStr"/>
    </row>
    <row r="102">
      <c r="A102" t="inlineStr">
        <is>
          <t>0964</t>
        </is>
      </c>
      <c r="B102" t="inlineStr">
        <is>
          <t xml:space="preserve">DEVANAGARI DANDA </t>
        </is>
      </c>
      <c r="C102">
        <f> purna viram</f>
        <v/>
      </c>
      <c r="D102" t="inlineStr"/>
    </row>
    <row r="103">
      <c r="A103" t="inlineStr">
        <is>
          <t>0965</t>
        </is>
      </c>
      <c r="B103" t="inlineStr">
        <is>
          <t xml:space="preserve">DEVANAGARI DOUBLE DANDA </t>
        </is>
      </c>
      <c r="C103">
        <f> deergh viram</f>
        <v/>
      </c>
      <c r="D103" t="inlineStr"/>
    </row>
    <row r="104">
      <c r="A104" t="inlineStr">
        <is>
          <t>0966</t>
        </is>
      </c>
      <c r="B104" t="inlineStr">
        <is>
          <t xml:space="preserve">DEVANAGARI DIGIT ZERO </t>
        </is>
      </c>
      <c r="C104" t="inlineStr"/>
      <c r="D104" t="inlineStr"/>
    </row>
    <row r="105">
      <c r="A105" t="inlineStr">
        <is>
          <t>0967</t>
        </is>
      </c>
      <c r="B105" t="inlineStr">
        <is>
          <t>DEVANAGARI DIGIT ONE</t>
        </is>
      </c>
      <c r="C105" t="inlineStr"/>
      <c r="D105" t="inlineStr"/>
    </row>
    <row r="106">
      <c r="A106" t="inlineStr">
        <is>
          <t>0968</t>
        </is>
      </c>
      <c r="B106" t="inlineStr">
        <is>
          <t>DEVANAGARI DIGIT TWO</t>
        </is>
      </c>
      <c r="C106" t="inlineStr"/>
      <c r="D106" t="inlineStr"/>
    </row>
    <row r="107">
      <c r="A107" t="inlineStr">
        <is>
          <t>0969</t>
        </is>
      </c>
      <c r="B107" t="inlineStr">
        <is>
          <t>DEVANAGARI DIGIT THREE</t>
        </is>
      </c>
      <c r="C107" t="inlineStr"/>
      <c r="D107" t="inlineStr"/>
    </row>
    <row r="108">
      <c r="A108" t="inlineStr">
        <is>
          <t>096A</t>
        </is>
      </c>
      <c r="B108" t="inlineStr">
        <is>
          <t>DEVANAGARI DIGIT FOUR</t>
        </is>
      </c>
      <c r="C108" t="inlineStr"/>
      <c r="D108" t="inlineStr"/>
    </row>
    <row r="109">
      <c r="A109" t="inlineStr">
        <is>
          <t>096B</t>
        </is>
      </c>
      <c r="B109" t="inlineStr">
        <is>
          <t>DEVANAGARI DIGIT FIVE</t>
        </is>
      </c>
      <c r="C109" t="inlineStr"/>
      <c r="D109" t="inlineStr"/>
    </row>
    <row r="110">
      <c r="A110" t="inlineStr">
        <is>
          <t>096C</t>
        </is>
      </c>
      <c r="B110" t="inlineStr">
        <is>
          <t>DEVANAGARI DIGIT SIX</t>
        </is>
      </c>
      <c r="C110" t="inlineStr"/>
      <c r="D110" t="inlineStr"/>
    </row>
    <row r="111">
      <c r="A111" t="inlineStr">
        <is>
          <t>096D</t>
        </is>
      </c>
      <c r="B111" t="inlineStr">
        <is>
          <t>DEVANAGARI DIGIT SEVEN</t>
        </is>
      </c>
      <c r="C111" t="inlineStr"/>
      <c r="D111" t="inlineStr"/>
    </row>
    <row r="112">
      <c r="A112" t="inlineStr">
        <is>
          <t>096E</t>
        </is>
      </c>
      <c r="B112" t="inlineStr">
        <is>
          <t>DEVANAGARI DIGIT EIGHT</t>
        </is>
      </c>
      <c r="C112" t="inlineStr"/>
      <c r="D112" t="inlineStr"/>
    </row>
    <row r="113">
      <c r="A113" t="inlineStr">
        <is>
          <t>096F</t>
        </is>
      </c>
      <c r="B113" t="inlineStr">
        <is>
          <t>DEVANAGARI DIGIT NINE</t>
        </is>
      </c>
      <c r="C113" t="inlineStr"/>
      <c r="D113" t="inlineStr"/>
    </row>
    <row r="114">
      <c r="A114" t="inlineStr">
        <is>
          <t>0970</t>
        </is>
      </c>
      <c r="B114" t="inlineStr">
        <is>
          <t xml:space="preserve">DEVANAGARI ABBREVIATION SIGN </t>
        </is>
      </c>
      <c r="C114" t="inlineStr"/>
      <c r="D114" t="inlineStr"/>
    </row>
    <row r="115">
      <c r="A115" t="inlineStr">
        <is>
          <t>0971</t>
        </is>
      </c>
      <c r="B115" t="inlineStr">
        <is>
          <t>DEVANAGARI SIGN HIGH SPACING DOT</t>
        </is>
      </c>
      <c r="C115" t="inlineStr"/>
      <c r="D115" t="inlineStr"/>
    </row>
    <row r="116">
      <c r="A116" t="inlineStr">
        <is>
          <t>0972</t>
        </is>
      </c>
      <c r="B116" t="inlineStr">
        <is>
          <t>DEVANAGARI LETTER CANDRA A</t>
        </is>
      </c>
      <c r="C116" t="inlineStr"/>
      <c r="D116" t="inlineStr"/>
    </row>
    <row r="117">
      <c r="A117" t="inlineStr">
        <is>
          <t>0973</t>
        </is>
      </c>
      <c r="B117" t="inlineStr">
        <is>
          <t>DEVANAGARI LETTER OE</t>
        </is>
      </c>
      <c r="C117" t="inlineStr"/>
      <c r="D117" t="inlineStr"/>
    </row>
    <row r="118">
      <c r="A118" t="inlineStr">
        <is>
          <t>0974</t>
        </is>
      </c>
      <c r="B118" t="inlineStr">
        <is>
          <t>DEVANAGARI LETTER OOE</t>
        </is>
      </c>
      <c r="C118" t="inlineStr"/>
      <c r="D118" t="inlineStr"/>
    </row>
    <row r="119">
      <c r="A119" t="inlineStr">
        <is>
          <t>0975</t>
        </is>
      </c>
      <c r="B119" t="inlineStr">
        <is>
          <t>DEVANAGARI LETTER AW</t>
        </is>
      </c>
      <c r="C119" t="inlineStr"/>
      <c r="D119" t="inlineStr"/>
    </row>
    <row r="120">
      <c r="A120" t="inlineStr">
        <is>
          <t>0976</t>
        </is>
      </c>
      <c r="B120" t="inlineStr">
        <is>
          <t>DEVANAGARI LETTER UE</t>
        </is>
      </c>
      <c r="C120" t="inlineStr"/>
      <c r="D120" t="inlineStr"/>
    </row>
    <row r="121">
      <c r="A121" t="inlineStr">
        <is>
          <t>0977</t>
        </is>
      </c>
      <c r="B121" t="inlineStr">
        <is>
          <t>DEVANAGARI LETTER UUE</t>
        </is>
      </c>
      <c r="C121" t="inlineStr"/>
      <c r="D121" t="inlineStr"/>
    </row>
    <row r="122">
      <c r="A122" t="inlineStr">
        <is>
          <t>0978</t>
        </is>
      </c>
      <c r="B122" t="inlineStr">
        <is>
          <t>DEVANAGARI LETTER MARWARI DDA</t>
        </is>
      </c>
      <c r="C122" t="inlineStr"/>
      <c r="D122" t="inlineStr"/>
    </row>
    <row r="123">
      <c r="A123" t="inlineStr">
        <is>
          <t>0979</t>
        </is>
      </c>
      <c r="B123" t="inlineStr">
        <is>
          <t xml:space="preserve">DEVANAGARI LETTER ZHA </t>
        </is>
      </c>
      <c r="C123" t="inlineStr"/>
      <c r="D123" t="inlineStr">
        <is>
          <t>x (gujarati letter zha - 0AF9)</t>
        </is>
      </c>
    </row>
    <row r="124">
      <c r="A124" t="inlineStr">
        <is>
          <t>097A</t>
        </is>
      </c>
      <c r="B124" t="inlineStr">
        <is>
          <t xml:space="preserve">DEVANAGARI LETTER HEAVY YA </t>
        </is>
      </c>
      <c r="C124" t="inlineStr"/>
      <c r="D124" t="inlineStr"/>
    </row>
    <row r="125">
      <c r="A125" t="inlineStr">
        <is>
          <t>097B</t>
        </is>
      </c>
      <c r="B125" t="inlineStr">
        <is>
          <t>DEVANAGARI LETTER GGA</t>
        </is>
      </c>
      <c r="C125" t="inlineStr"/>
      <c r="D125" t="inlineStr"/>
    </row>
    <row r="126">
      <c r="A126" t="inlineStr">
        <is>
          <t>097C</t>
        </is>
      </c>
      <c r="B126" t="inlineStr">
        <is>
          <t>DEVANAGARI LETTER JJA</t>
        </is>
      </c>
      <c r="C126" t="inlineStr"/>
      <c r="D126" t="inlineStr"/>
    </row>
    <row r="127">
      <c r="A127" t="inlineStr">
        <is>
          <t>097D</t>
        </is>
      </c>
      <c r="B127" t="inlineStr">
        <is>
          <t xml:space="preserve">DEVANAGARI LETTER GLOTTAL STOP </t>
        </is>
      </c>
      <c r="C127" t="inlineStr"/>
      <c r="D127" t="inlineStr"/>
    </row>
    <row r="128">
      <c r="A128" t="inlineStr">
        <is>
          <t>097E</t>
        </is>
      </c>
      <c r="B128" t="inlineStr">
        <is>
          <t>DEVANAGARI LETTER DDDA</t>
        </is>
      </c>
      <c r="C128" t="inlineStr"/>
      <c r="D128" t="inlineStr"/>
    </row>
    <row r="129">
      <c r="A129" t="inlineStr">
        <is>
          <t>097F</t>
        </is>
      </c>
      <c r="B129" t="inlineStr">
        <is>
          <t>DEVANAGARI LETTER BBA</t>
        </is>
      </c>
      <c r="C129" t="inlineStr"/>
      <c r="D129" t="inlineStr"/>
    </row>
    <row r="130">
      <c r="A130" t="inlineStr">
        <is>
          <t>0980</t>
        </is>
      </c>
      <c r="B130" t="inlineStr">
        <is>
          <t xml:space="preserve">BENGALI ANJI </t>
        </is>
      </c>
      <c r="C130">
        <f> siddham, siddhirastu</f>
        <v/>
      </c>
      <c r="D130" t="inlineStr"/>
    </row>
    <row r="131">
      <c r="A131" t="inlineStr">
        <is>
          <t>0981</t>
        </is>
      </c>
      <c r="B131" t="inlineStr">
        <is>
          <t>BENGALI SIGN CANDRABINDU</t>
        </is>
      </c>
      <c r="C131" t="inlineStr"/>
      <c r="D131" t="inlineStr"/>
    </row>
    <row r="132">
      <c r="A132" t="inlineStr">
        <is>
          <t>0982</t>
        </is>
      </c>
      <c r="B132" t="inlineStr">
        <is>
          <t>BENGALI SIGN ANUSVARA</t>
        </is>
      </c>
      <c r="C132" t="inlineStr"/>
      <c r="D132" t="inlineStr"/>
    </row>
    <row r="133">
      <c r="A133" t="inlineStr">
        <is>
          <t>0983</t>
        </is>
      </c>
      <c r="B133" t="inlineStr">
        <is>
          <t>BENGALI SIGN VISARGA</t>
        </is>
      </c>
      <c r="C133" t="inlineStr"/>
      <c r="D133" t="inlineStr"/>
    </row>
    <row r="134">
      <c r="A134" t="inlineStr">
        <is>
          <t>0985</t>
        </is>
      </c>
      <c r="B134" t="inlineStr">
        <is>
          <t>BENGALI LETTER A</t>
        </is>
      </c>
      <c r="C134" t="inlineStr"/>
      <c r="D134" t="inlineStr"/>
    </row>
    <row r="135">
      <c r="A135" t="inlineStr">
        <is>
          <t>0986</t>
        </is>
      </c>
      <c r="B135" t="inlineStr">
        <is>
          <t>BENGALI LETTER AA</t>
        </is>
      </c>
      <c r="C135" t="inlineStr"/>
      <c r="D135" t="inlineStr"/>
    </row>
    <row r="136">
      <c r="A136" t="inlineStr">
        <is>
          <t>0987</t>
        </is>
      </c>
      <c r="B136" t="inlineStr">
        <is>
          <t>BENGALI LETTER I</t>
        </is>
      </c>
      <c r="C136" t="inlineStr"/>
      <c r="D136" t="inlineStr"/>
    </row>
    <row r="137">
      <c r="A137" t="inlineStr">
        <is>
          <t>0988</t>
        </is>
      </c>
      <c r="B137" t="inlineStr">
        <is>
          <t>BENGALI LETTER II</t>
        </is>
      </c>
      <c r="C137" t="inlineStr"/>
      <c r="D137" t="inlineStr"/>
    </row>
    <row r="138">
      <c r="A138" t="inlineStr">
        <is>
          <t>0989</t>
        </is>
      </c>
      <c r="B138" t="inlineStr">
        <is>
          <t>BENGALI LETTER U</t>
        </is>
      </c>
      <c r="C138" t="inlineStr"/>
      <c r="D138" t="inlineStr"/>
    </row>
    <row r="139">
      <c r="A139" t="inlineStr">
        <is>
          <t>098A</t>
        </is>
      </c>
      <c r="B139" t="inlineStr">
        <is>
          <t>BENGALI LETTER UU</t>
        </is>
      </c>
      <c r="C139" t="inlineStr"/>
      <c r="D139" t="inlineStr"/>
    </row>
    <row r="140">
      <c r="A140" t="inlineStr">
        <is>
          <t>098B</t>
        </is>
      </c>
      <c r="B140" t="inlineStr">
        <is>
          <t>BENGALI LETTER VOCALIC R</t>
        </is>
      </c>
      <c r="C140" t="inlineStr"/>
      <c r="D140" t="inlineStr"/>
    </row>
    <row r="141">
      <c r="A141" t="inlineStr">
        <is>
          <t>098C</t>
        </is>
      </c>
      <c r="B141" t="inlineStr">
        <is>
          <t>BENGALI LETTER VOCALIC L</t>
        </is>
      </c>
      <c r="C141" t="inlineStr"/>
      <c r="D141" t="inlineStr"/>
    </row>
    <row r="142">
      <c r="A142" t="inlineStr">
        <is>
          <t>098F</t>
        </is>
      </c>
      <c r="B142" t="inlineStr">
        <is>
          <t>BENGALI LETTER E</t>
        </is>
      </c>
      <c r="C142" t="inlineStr"/>
      <c r="D142" t="inlineStr"/>
    </row>
    <row r="143">
      <c r="A143" t="inlineStr">
        <is>
          <t>0990</t>
        </is>
      </c>
      <c r="B143" t="inlineStr">
        <is>
          <t>BENGALI LETTER AI</t>
        </is>
      </c>
      <c r="C143" t="inlineStr"/>
      <c r="D143" t="inlineStr"/>
    </row>
    <row r="144">
      <c r="A144" t="inlineStr">
        <is>
          <t>0993</t>
        </is>
      </c>
      <c r="B144" t="inlineStr">
        <is>
          <t>BENGALI LETTER O</t>
        </is>
      </c>
      <c r="C144" t="inlineStr"/>
      <c r="D144" t="inlineStr"/>
    </row>
    <row r="145">
      <c r="A145" t="inlineStr">
        <is>
          <t>0994</t>
        </is>
      </c>
      <c r="B145" t="inlineStr">
        <is>
          <t>BENGALI LETTER AU</t>
        </is>
      </c>
      <c r="C145" t="inlineStr"/>
      <c r="D145" t="inlineStr"/>
    </row>
    <row r="146">
      <c r="A146" t="inlineStr">
        <is>
          <t>0995</t>
        </is>
      </c>
      <c r="B146" t="inlineStr">
        <is>
          <t>BENGALI LETTER KA</t>
        </is>
      </c>
      <c r="C146" t="inlineStr"/>
      <c r="D146" t="inlineStr"/>
    </row>
    <row r="147">
      <c r="A147" t="inlineStr">
        <is>
          <t>0996</t>
        </is>
      </c>
      <c r="B147" t="inlineStr">
        <is>
          <t>BENGALI LETTER KHA</t>
        </is>
      </c>
      <c r="C147" t="inlineStr"/>
      <c r="D147" t="inlineStr"/>
    </row>
    <row r="148">
      <c r="A148" t="inlineStr">
        <is>
          <t>0997</t>
        </is>
      </c>
      <c r="B148" t="inlineStr">
        <is>
          <t>BENGALI LETTER GA</t>
        </is>
      </c>
      <c r="C148" t="inlineStr"/>
      <c r="D148" t="inlineStr"/>
    </row>
    <row r="149">
      <c r="A149" t="inlineStr">
        <is>
          <t>0998</t>
        </is>
      </c>
      <c r="B149" t="inlineStr">
        <is>
          <t>BENGALI LETTER GHA</t>
        </is>
      </c>
      <c r="C149" t="inlineStr"/>
      <c r="D149" t="inlineStr"/>
    </row>
    <row r="150">
      <c r="A150" t="inlineStr">
        <is>
          <t>0999</t>
        </is>
      </c>
      <c r="B150" t="inlineStr">
        <is>
          <t>BENGALI LETTER NGA</t>
        </is>
      </c>
      <c r="C150" t="inlineStr"/>
      <c r="D150" t="inlineStr"/>
    </row>
    <row r="151">
      <c r="A151" t="inlineStr">
        <is>
          <t>099A</t>
        </is>
      </c>
      <c r="B151" t="inlineStr">
        <is>
          <t>BENGALI LETTER CA</t>
        </is>
      </c>
      <c r="C151" t="inlineStr"/>
      <c r="D151" t="inlineStr"/>
    </row>
    <row r="152">
      <c r="A152" t="inlineStr">
        <is>
          <t>099B</t>
        </is>
      </c>
      <c r="B152" t="inlineStr">
        <is>
          <t>BENGALI LETTER CHA</t>
        </is>
      </c>
      <c r="C152" t="inlineStr"/>
      <c r="D152" t="inlineStr"/>
    </row>
    <row r="153">
      <c r="A153" t="inlineStr">
        <is>
          <t>099C</t>
        </is>
      </c>
      <c r="B153" t="inlineStr">
        <is>
          <t>BENGALI LETTER JA</t>
        </is>
      </c>
      <c r="C153" t="inlineStr"/>
      <c r="D153" t="inlineStr"/>
    </row>
    <row r="154">
      <c r="A154" t="inlineStr">
        <is>
          <t>099D</t>
        </is>
      </c>
      <c r="B154" t="inlineStr">
        <is>
          <t>BENGALI LETTER JHA</t>
        </is>
      </c>
      <c r="C154" t="inlineStr"/>
      <c r="D154" t="inlineStr"/>
    </row>
    <row r="155">
      <c r="A155" t="inlineStr">
        <is>
          <t>099E</t>
        </is>
      </c>
      <c r="B155" t="inlineStr">
        <is>
          <t>BENGALI LETTER NYA</t>
        </is>
      </c>
      <c r="C155" t="inlineStr"/>
      <c r="D155" t="inlineStr"/>
    </row>
    <row r="156">
      <c r="A156" t="inlineStr">
        <is>
          <t>099F</t>
        </is>
      </c>
      <c r="B156" t="inlineStr">
        <is>
          <t>BENGALI LETTER TTA</t>
        </is>
      </c>
      <c r="C156" t="inlineStr"/>
      <c r="D156" t="inlineStr"/>
    </row>
    <row r="157">
      <c r="A157" t="inlineStr">
        <is>
          <t>09A0</t>
        </is>
      </c>
      <c r="B157" t="inlineStr">
        <is>
          <t>BENGALI LETTER TTHA</t>
        </is>
      </c>
      <c r="C157" t="inlineStr"/>
      <c r="D157" t="inlineStr"/>
    </row>
    <row r="158">
      <c r="A158" t="inlineStr">
        <is>
          <t>09A1</t>
        </is>
      </c>
      <c r="B158" t="inlineStr">
        <is>
          <t>BENGALI LETTER DDA</t>
        </is>
      </c>
      <c r="C158" t="inlineStr"/>
      <c r="D158" t="inlineStr"/>
    </row>
    <row r="159">
      <c r="A159" t="inlineStr">
        <is>
          <t>09A2</t>
        </is>
      </c>
      <c r="B159" t="inlineStr">
        <is>
          <t>BENGALI LETTER DDHA</t>
        </is>
      </c>
      <c r="C159" t="inlineStr"/>
      <c r="D159" t="inlineStr"/>
    </row>
    <row r="160">
      <c r="A160" t="inlineStr">
        <is>
          <t>09A3</t>
        </is>
      </c>
      <c r="B160" t="inlineStr">
        <is>
          <t>BENGALI LETTER NNA</t>
        </is>
      </c>
      <c r="C160" t="inlineStr"/>
      <c r="D160" t="inlineStr"/>
    </row>
    <row r="161">
      <c r="A161" t="inlineStr">
        <is>
          <t>09A4</t>
        </is>
      </c>
      <c r="B161" t="inlineStr">
        <is>
          <t>BENGALI LETTER TA</t>
        </is>
      </c>
      <c r="C161" t="inlineStr"/>
      <c r="D161" t="inlineStr"/>
    </row>
    <row r="162">
      <c r="A162" t="inlineStr">
        <is>
          <t>09A5</t>
        </is>
      </c>
      <c r="B162" t="inlineStr">
        <is>
          <t>BENGALI LETTER THA</t>
        </is>
      </c>
      <c r="C162" t="inlineStr"/>
      <c r="D162" t="inlineStr"/>
    </row>
    <row r="163">
      <c r="A163" t="inlineStr">
        <is>
          <t>09A6</t>
        </is>
      </c>
      <c r="B163" t="inlineStr">
        <is>
          <t>BENGALI LETTER DA</t>
        </is>
      </c>
      <c r="C163" t="inlineStr"/>
      <c r="D163" t="inlineStr"/>
    </row>
    <row r="164">
      <c r="A164" t="inlineStr">
        <is>
          <t>09A7</t>
        </is>
      </c>
      <c r="B164" t="inlineStr">
        <is>
          <t>BENGALI LETTER DHA</t>
        </is>
      </c>
      <c r="C164" t="inlineStr"/>
      <c r="D164" t="inlineStr"/>
    </row>
    <row r="165">
      <c r="A165" t="inlineStr">
        <is>
          <t>09A8</t>
        </is>
      </c>
      <c r="B165" t="inlineStr">
        <is>
          <t>BENGALI LETTER NA</t>
        </is>
      </c>
      <c r="C165" t="inlineStr"/>
      <c r="D165" t="inlineStr"/>
    </row>
    <row r="166">
      <c r="A166" t="inlineStr">
        <is>
          <t>09AA</t>
        </is>
      </c>
      <c r="B166" t="inlineStr">
        <is>
          <t>BENGALI LETTER PA</t>
        </is>
      </c>
      <c r="C166" t="inlineStr"/>
      <c r="D166" t="inlineStr"/>
    </row>
    <row r="167">
      <c r="A167" t="inlineStr">
        <is>
          <t>09AB</t>
        </is>
      </c>
      <c r="B167" t="inlineStr">
        <is>
          <t>BENGALI LETTER PHA</t>
        </is>
      </c>
      <c r="C167" t="inlineStr"/>
      <c r="D167" t="inlineStr"/>
    </row>
    <row r="168">
      <c r="A168" t="inlineStr">
        <is>
          <t>09AC</t>
        </is>
      </c>
      <c r="B168" t="inlineStr">
        <is>
          <t xml:space="preserve">BENGALI LETTER BA </t>
        </is>
      </c>
      <c r="C168">
        <f> Bengali va, wa</f>
        <v/>
      </c>
      <c r="D168" t="inlineStr"/>
    </row>
    <row r="169">
      <c r="A169" t="inlineStr">
        <is>
          <t>09AD</t>
        </is>
      </c>
      <c r="B169" t="inlineStr">
        <is>
          <t>BENGALI LETTER BHA</t>
        </is>
      </c>
      <c r="C169" t="inlineStr"/>
      <c r="D169" t="inlineStr"/>
    </row>
    <row r="170">
      <c r="A170" t="inlineStr">
        <is>
          <t>09AE</t>
        </is>
      </c>
      <c r="B170" t="inlineStr">
        <is>
          <t>BENGALI LETTER MA</t>
        </is>
      </c>
      <c r="C170" t="inlineStr"/>
      <c r="D170" t="inlineStr"/>
    </row>
    <row r="171">
      <c r="A171" t="inlineStr">
        <is>
          <t>09AF</t>
        </is>
      </c>
      <c r="B171" t="inlineStr">
        <is>
          <t>BENGALI LETTER YA</t>
        </is>
      </c>
      <c r="C171" t="inlineStr"/>
      <c r="D171" t="inlineStr"/>
    </row>
    <row r="172">
      <c r="A172" t="inlineStr">
        <is>
          <t>09B0</t>
        </is>
      </c>
      <c r="B172" t="inlineStr">
        <is>
          <t>BENGALI LETTER RA</t>
        </is>
      </c>
      <c r="C172" t="inlineStr"/>
      <c r="D172" t="inlineStr"/>
    </row>
    <row r="173">
      <c r="A173" t="inlineStr">
        <is>
          <t>09B2</t>
        </is>
      </c>
      <c r="B173" t="inlineStr">
        <is>
          <t>BENGALI LETTER LA</t>
        </is>
      </c>
      <c r="C173" t="inlineStr"/>
      <c r="D173" t="inlineStr"/>
    </row>
    <row r="174">
      <c r="A174" t="inlineStr">
        <is>
          <t>09B6</t>
        </is>
      </c>
      <c r="B174" t="inlineStr">
        <is>
          <t>BENGALI LETTER SHA</t>
        </is>
      </c>
      <c r="C174" t="inlineStr"/>
      <c r="D174" t="inlineStr"/>
    </row>
    <row r="175">
      <c r="A175" t="inlineStr">
        <is>
          <t>09B7</t>
        </is>
      </c>
      <c r="B175" t="inlineStr">
        <is>
          <t>BENGALI LETTER SSA</t>
        </is>
      </c>
      <c r="C175" t="inlineStr"/>
      <c r="D175" t="inlineStr"/>
    </row>
    <row r="176">
      <c r="A176" t="inlineStr">
        <is>
          <t>09B8</t>
        </is>
      </c>
      <c r="B176" t="inlineStr">
        <is>
          <t>BENGALI LETTER SA</t>
        </is>
      </c>
      <c r="C176" t="inlineStr"/>
      <c r="D176" t="inlineStr"/>
    </row>
    <row r="177">
      <c r="A177" t="inlineStr">
        <is>
          <t>09B9</t>
        </is>
      </c>
      <c r="B177" t="inlineStr">
        <is>
          <t>BENGALI LETTER HA</t>
        </is>
      </c>
      <c r="C177" t="inlineStr"/>
      <c r="D177" t="inlineStr"/>
    </row>
    <row r="178">
      <c r="A178" t="inlineStr">
        <is>
          <t>09BC</t>
        </is>
      </c>
      <c r="B178" t="inlineStr">
        <is>
          <t xml:space="preserve">BENGALI SIGN NUKTA </t>
        </is>
      </c>
      <c r="C178" t="inlineStr"/>
      <c r="D178" t="inlineStr"/>
    </row>
    <row r="179">
      <c r="A179" t="inlineStr">
        <is>
          <t>09BD</t>
        </is>
      </c>
      <c r="B179" t="inlineStr">
        <is>
          <t>BENGALI SIGN AVAGRAHA</t>
        </is>
      </c>
      <c r="C179" t="inlineStr"/>
      <c r="D179" t="inlineStr"/>
    </row>
    <row r="180">
      <c r="A180" t="inlineStr">
        <is>
          <t>09BE</t>
        </is>
      </c>
      <c r="B180" t="inlineStr">
        <is>
          <t>BENGALI VOWEL SIGN AA</t>
        </is>
      </c>
      <c r="C180" t="inlineStr"/>
      <c r="D180" t="inlineStr"/>
    </row>
    <row r="181">
      <c r="A181" t="inlineStr">
        <is>
          <t>09BF</t>
        </is>
      </c>
      <c r="B181" t="inlineStr">
        <is>
          <t xml:space="preserve">BENGALI VOWEL SIGN I </t>
        </is>
      </c>
      <c r="C181" t="inlineStr"/>
      <c r="D181" t="inlineStr"/>
    </row>
    <row r="182">
      <c r="A182" t="inlineStr">
        <is>
          <t>09C0</t>
        </is>
      </c>
      <c r="B182" t="inlineStr">
        <is>
          <t>BENGALI VOWEL SIGN II</t>
        </is>
      </c>
      <c r="C182" t="inlineStr"/>
      <c r="D182" t="inlineStr"/>
    </row>
    <row r="183">
      <c r="A183" t="inlineStr">
        <is>
          <t>09C1</t>
        </is>
      </c>
      <c r="B183" t="inlineStr">
        <is>
          <t>BENGALI VOWEL SIGN U</t>
        </is>
      </c>
      <c r="C183" t="inlineStr"/>
      <c r="D183" t="inlineStr"/>
    </row>
    <row r="184">
      <c r="A184" t="inlineStr">
        <is>
          <t>09C2</t>
        </is>
      </c>
      <c r="B184" t="inlineStr">
        <is>
          <t>BENGALI VOWEL SIGN UU</t>
        </is>
      </c>
      <c r="C184" t="inlineStr"/>
      <c r="D184" t="inlineStr"/>
    </row>
    <row r="185">
      <c r="A185" t="inlineStr">
        <is>
          <t>09C3</t>
        </is>
      </c>
      <c r="B185" t="inlineStr">
        <is>
          <t>BENGALI VOWEL SIGN VOCALIC R</t>
        </is>
      </c>
      <c r="C185" t="inlineStr"/>
      <c r="D185" t="inlineStr"/>
    </row>
    <row r="186">
      <c r="A186" t="inlineStr">
        <is>
          <t>09C4</t>
        </is>
      </c>
      <c r="B186" t="inlineStr">
        <is>
          <t>BENGALI VOWEL SIGN VOCALIC RR</t>
        </is>
      </c>
      <c r="C186" t="inlineStr"/>
      <c r="D186" t="inlineStr"/>
    </row>
    <row r="187">
      <c r="A187" t="inlineStr">
        <is>
          <t>09C7</t>
        </is>
      </c>
      <c r="B187" t="inlineStr">
        <is>
          <t xml:space="preserve">BENGALI VOWEL SIGN E </t>
        </is>
      </c>
      <c r="C187" t="inlineStr"/>
      <c r="D187" t="inlineStr"/>
    </row>
    <row r="188">
      <c r="A188" t="inlineStr">
        <is>
          <t>09C8</t>
        </is>
      </c>
      <c r="B188" t="inlineStr">
        <is>
          <t xml:space="preserve">BENGALI VOWEL SIGN AI </t>
        </is>
      </c>
      <c r="C188" t="inlineStr"/>
      <c r="D188" t="inlineStr"/>
    </row>
    <row r="189">
      <c r="A189" t="inlineStr">
        <is>
          <t>09CB</t>
        </is>
      </c>
      <c r="B189" t="inlineStr">
        <is>
          <t xml:space="preserve">BENGALI VOWEL SIGN O </t>
        </is>
      </c>
      <c r="C189" t="inlineStr"/>
      <c r="D189" t="inlineStr"/>
    </row>
    <row r="190">
      <c r="A190" t="inlineStr">
        <is>
          <t>09CC</t>
        </is>
      </c>
      <c r="B190" t="inlineStr">
        <is>
          <t xml:space="preserve">BENGALI VOWEL SIGN AU </t>
        </is>
      </c>
      <c r="C190" t="inlineStr"/>
      <c r="D190" t="inlineStr"/>
    </row>
    <row r="191">
      <c r="A191" t="inlineStr">
        <is>
          <t>09CD</t>
        </is>
      </c>
      <c r="B191" t="inlineStr">
        <is>
          <t xml:space="preserve">BENGALI SIGN VIRAMA </t>
        </is>
      </c>
      <c r="C191">
        <f> hasant (Bengali term for halant)</f>
        <v/>
      </c>
      <c r="D191" t="inlineStr"/>
    </row>
    <row r="192">
      <c r="A192" t="inlineStr">
        <is>
          <t>09CE</t>
        </is>
      </c>
      <c r="B192" t="inlineStr">
        <is>
          <t xml:space="preserve">BENGALI LETTER KHANDA TA </t>
        </is>
      </c>
      <c r="C192" t="inlineStr"/>
      <c r="D192" t="inlineStr"/>
    </row>
    <row r="193">
      <c r="A193" t="inlineStr">
        <is>
          <t>09D7</t>
        </is>
      </c>
      <c r="B193" t="inlineStr">
        <is>
          <t>BENGALI AU LENGTH MARK</t>
        </is>
      </c>
      <c r="C193" t="inlineStr"/>
      <c r="D193" t="inlineStr"/>
    </row>
    <row r="194">
      <c r="A194" t="inlineStr">
        <is>
          <t>09DC</t>
        </is>
      </c>
      <c r="B194" t="inlineStr">
        <is>
          <t xml:space="preserve">BENGALI LETTER RRA </t>
        </is>
      </c>
      <c r="C194" t="inlineStr"/>
      <c r="D194" t="inlineStr"/>
    </row>
    <row r="195">
      <c r="A195" t="inlineStr">
        <is>
          <t>09DD</t>
        </is>
      </c>
      <c r="B195" t="inlineStr">
        <is>
          <t xml:space="preserve">BENGALI LETTER RHA </t>
        </is>
      </c>
      <c r="C195" t="inlineStr"/>
      <c r="D195" t="inlineStr"/>
    </row>
    <row r="196">
      <c r="A196" t="inlineStr">
        <is>
          <t>09DF</t>
        </is>
      </c>
      <c r="B196" t="inlineStr">
        <is>
          <t xml:space="preserve">BENGALI LETTER YYA </t>
        </is>
      </c>
      <c r="C196" t="inlineStr"/>
      <c r="D196" t="inlineStr"/>
    </row>
    <row r="197">
      <c r="A197" t="inlineStr">
        <is>
          <t>09E0</t>
        </is>
      </c>
      <c r="B197" t="inlineStr">
        <is>
          <t>BENGALI LETTER VOCALIC RR</t>
        </is>
      </c>
      <c r="C197" t="inlineStr"/>
      <c r="D197" t="inlineStr"/>
    </row>
    <row r="198">
      <c r="A198" t="inlineStr">
        <is>
          <t>09E1</t>
        </is>
      </c>
      <c r="B198" t="inlineStr">
        <is>
          <t>BENGALI LETTER VOCALIC LL</t>
        </is>
      </c>
      <c r="C198" t="inlineStr"/>
      <c r="D198" t="inlineStr"/>
    </row>
    <row r="199">
      <c r="A199" t="inlineStr">
        <is>
          <t>09E2</t>
        </is>
      </c>
      <c r="B199" t="inlineStr">
        <is>
          <t>BENGALI VOWEL SIGN VOCALIC L</t>
        </is>
      </c>
      <c r="C199" t="inlineStr"/>
      <c r="D199" t="inlineStr"/>
    </row>
    <row r="200">
      <c r="A200" t="inlineStr">
        <is>
          <t>09E3</t>
        </is>
      </c>
      <c r="B200" t="inlineStr">
        <is>
          <t>BENGALI VOWEL SIGN VOCALIC LL</t>
        </is>
      </c>
      <c r="C200" t="inlineStr"/>
      <c r="D200" t="inlineStr"/>
    </row>
    <row r="201">
      <c r="A201" t="inlineStr">
        <is>
          <t>09E4</t>
        </is>
      </c>
      <c r="B201" t="inlineStr">
        <is>
          <t xml:space="preserve">&lt;reserved&gt; </t>
        </is>
      </c>
      <c r="C201" t="inlineStr"/>
      <c r="D201" t="inlineStr">
        <is>
          <t>x (devanagari danda - 0964)</t>
        </is>
      </c>
    </row>
    <row r="202">
      <c r="A202" t="inlineStr">
        <is>
          <t>09E5</t>
        </is>
      </c>
      <c r="B202" t="inlineStr">
        <is>
          <t xml:space="preserve">&lt;reserved&gt; </t>
        </is>
      </c>
      <c r="C202" t="inlineStr"/>
      <c r="D202" t="inlineStr">
        <is>
          <t>x (devanagari double danda - 0965)</t>
        </is>
      </c>
    </row>
    <row r="203">
      <c r="A203" t="inlineStr">
        <is>
          <t>09E6</t>
        </is>
      </c>
      <c r="B203" t="inlineStr">
        <is>
          <t>BENGALI DIGIT ZERO</t>
        </is>
      </c>
      <c r="C203" t="inlineStr"/>
      <c r="D203" t="inlineStr"/>
    </row>
    <row r="204">
      <c r="A204" t="inlineStr">
        <is>
          <t>09E7</t>
        </is>
      </c>
      <c r="B204" t="inlineStr">
        <is>
          <t>BENGALI DIGIT ONE</t>
        </is>
      </c>
      <c r="C204" t="inlineStr"/>
      <c r="D204" t="inlineStr"/>
    </row>
    <row r="205">
      <c r="A205" t="inlineStr">
        <is>
          <t>09E8</t>
        </is>
      </c>
      <c r="B205" t="inlineStr">
        <is>
          <t>BENGALI DIGIT TWO</t>
        </is>
      </c>
      <c r="C205" t="inlineStr"/>
      <c r="D205" t="inlineStr"/>
    </row>
    <row r="206">
      <c r="A206" t="inlineStr">
        <is>
          <t>09E9</t>
        </is>
      </c>
      <c r="B206" t="inlineStr">
        <is>
          <t>BENGALI DIGIT THREE</t>
        </is>
      </c>
      <c r="C206" t="inlineStr"/>
      <c r="D206" t="inlineStr"/>
    </row>
    <row r="207">
      <c r="A207" t="inlineStr">
        <is>
          <t>09EA</t>
        </is>
      </c>
      <c r="B207" t="inlineStr">
        <is>
          <t>BENGALI DIGIT FOUR</t>
        </is>
      </c>
      <c r="C207" t="inlineStr"/>
      <c r="D207" t="inlineStr"/>
    </row>
    <row r="208">
      <c r="A208" t="inlineStr">
        <is>
          <t>09EB</t>
        </is>
      </c>
      <c r="B208" t="inlineStr">
        <is>
          <t>BENGALI DIGIT FIVE</t>
        </is>
      </c>
      <c r="C208" t="inlineStr"/>
      <c r="D208" t="inlineStr"/>
    </row>
    <row r="209">
      <c r="A209" t="inlineStr">
        <is>
          <t>09EC</t>
        </is>
      </c>
      <c r="B209" t="inlineStr">
        <is>
          <t>BENGALI DIGIT SIX</t>
        </is>
      </c>
      <c r="C209" t="inlineStr"/>
      <c r="D209" t="inlineStr"/>
    </row>
    <row r="210">
      <c r="A210" t="inlineStr">
        <is>
          <t>09ED</t>
        </is>
      </c>
      <c r="B210" t="inlineStr">
        <is>
          <t>BENGALI DIGIT SEVEN</t>
        </is>
      </c>
      <c r="C210" t="inlineStr"/>
      <c r="D210" t="inlineStr"/>
    </row>
    <row r="211">
      <c r="A211" t="inlineStr">
        <is>
          <t>09EE</t>
        </is>
      </c>
      <c r="B211" t="inlineStr">
        <is>
          <t>BENGALI DIGIT EIGHT</t>
        </is>
      </c>
      <c r="C211" t="inlineStr"/>
      <c r="D211" t="inlineStr"/>
    </row>
    <row r="212">
      <c r="A212" t="inlineStr">
        <is>
          <t>09EF</t>
        </is>
      </c>
      <c r="B212" t="inlineStr">
        <is>
          <t>BENGALI DIGIT NINE</t>
        </is>
      </c>
      <c r="C212" t="inlineStr"/>
      <c r="D212" t="inlineStr"/>
    </row>
    <row r="213">
      <c r="A213" t="inlineStr">
        <is>
          <t>09F0</t>
        </is>
      </c>
      <c r="B213" t="inlineStr">
        <is>
          <t xml:space="preserve">BENGALI LETTER RA WITH MIDDLE DIAGONAL </t>
        </is>
      </c>
      <c r="C213">
        <f> Assamese letter ra</f>
        <v/>
      </c>
      <c r="D213" t="inlineStr"/>
    </row>
    <row r="214">
      <c r="A214" t="inlineStr">
        <is>
          <t>09F1</t>
        </is>
      </c>
      <c r="B214" t="inlineStr">
        <is>
          <t xml:space="preserve">BENGALI LETTER RA WITH LOWER DIAGONAL </t>
        </is>
      </c>
      <c r="C214">
        <f> bengali letter va with lower diagonal (1.0)</f>
        <v/>
      </c>
      <c r="D214" t="inlineStr"/>
    </row>
    <row r="215">
      <c r="A215" t="inlineStr">
        <is>
          <t>09F2</t>
        </is>
      </c>
      <c r="B215" t="inlineStr">
        <is>
          <t xml:space="preserve">BENGALI RUPEE MARK </t>
        </is>
      </c>
      <c r="C215">
        <f> taka</f>
        <v/>
      </c>
      <c r="D215" t="inlineStr"/>
    </row>
    <row r="216">
      <c r="A216" t="inlineStr">
        <is>
          <t>09F3</t>
        </is>
      </c>
      <c r="B216" t="inlineStr">
        <is>
          <t xml:space="preserve">BENGALI RUPEE SIGN </t>
        </is>
      </c>
      <c r="C216">
        <f> Bangladeshi taka</f>
        <v/>
      </c>
      <c r="D216" t="inlineStr"/>
    </row>
    <row r="217">
      <c r="A217" t="inlineStr">
        <is>
          <t>09F4</t>
        </is>
      </c>
      <c r="B217" t="inlineStr">
        <is>
          <t xml:space="preserve">BENGALI CURRENCY NUMERATOR ONE </t>
        </is>
      </c>
      <c r="C217" t="inlineStr"/>
      <c r="D217" t="inlineStr"/>
    </row>
    <row r="218">
      <c r="A218" t="inlineStr">
        <is>
          <t>09F5</t>
        </is>
      </c>
      <c r="B218" t="inlineStr">
        <is>
          <t xml:space="preserve">BENGALI CURRENCY NUMERATOR TWO </t>
        </is>
      </c>
      <c r="C218" t="inlineStr"/>
      <c r="D218" t="inlineStr"/>
    </row>
    <row r="219">
      <c r="A219" t="inlineStr">
        <is>
          <t>09F6</t>
        </is>
      </c>
      <c r="B219" t="inlineStr">
        <is>
          <t xml:space="preserve">BENGALI CURRENCY NUMERATOR THREE </t>
        </is>
      </c>
      <c r="C219" t="inlineStr"/>
      <c r="D219" t="inlineStr"/>
    </row>
    <row r="220">
      <c r="A220" t="inlineStr">
        <is>
          <t>09F7</t>
        </is>
      </c>
      <c r="B220" t="inlineStr">
        <is>
          <t>BENGALI CURRENCY NUMERATOR FOUR</t>
        </is>
      </c>
      <c r="C220" t="inlineStr"/>
      <c r="D220" t="inlineStr"/>
    </row>
    <row r="221">
      <c r="A221" t="inlineStr">
        <is>
          <t>09F8</t>
        </is>
      </c>
      <c r="B221" t="inlineStr">
        <is>
          <t>BENGALI CURRENCY NUMERATOR ONE LESS THAN THE DENOMINATOR</t>
        </is>
      </c>
      <c r="C221" t="inlineStr"/>
      <c r="D221" t="inlineStr"/>
    </row>
    <row r="222">
      <c r="A222" t="inlineStr">
        <is>
          <t>09F9</t>
        </is>
      </c>
      <c r="B222" t="inlineStr">
        <is>
          <t>BENGALI CURRENCY DENOMINATOR SIXTEEN</t>
        </is>
      </c>
      <c r="C222" t="inlineStr"/>
      <c r="D222" t="inlineStr"/>
    </row>
    <row r="223">
      <c r="A223" t="inlineStr">
        <is>
          <t>09FA</t>
        </is>
      </c>
      <c r="B223" t="inlineStr">
        <is>
          <t xml:space="preserve">BENGALI ISSHAR </t>
        </is>
      </c>
      <c r="C223">
        <f> svargiya</f>
        <v/>
      </c>
      <c r="D223" t="inlineStr"/>
    </row>
    <row r="224">
      <c r="A224" t="inlineStr">
        <is>
          <t>09FB</t>
        </is>
      </c>
      <c r="B224" t="inlineStr">
        <is>
          <t>BENGALI GANDA MARK</t>
        </is>
      </c>
      <c r="C224" t="inlineStr"/>
      <c r="D224" t="inlineStr"/>
    </row>
    <row r="225">
      <c r="A225" t="inlineStr">
        <is>
          <t>09FC</t>
        </is>
      </c>
      <c r="B225" t="inlineStr">
        <is>
          <t>BENGALI LETTER VEDIC ANUSVARA</t>
        </is>
      </c>
      <c r="C225" t="inlineStr"/>
      <c r="D225" t="inlineStr"/>
    </row>
    <row r="226">
      <c r="A226" t="inlineStr">
        <is>
          <t>09FD</t>
        </is>
      </c>
      <c r="B226" t="inlineStr">
        <is>
          <t>BENGALI ABBREVIATION SIGN</t>
        </is>
      </c>
      <c r="C226" t="inlineStr"/>
      <c r="D226" t="inlineStr"/>
    </row>
    <row r="227">
      <c r="A227" t="inlineStr">
        <is>
          <t>09FE</t>
        </is>
      </c>
      <c r="B227" t="inlineStr">
        <is>
          <t xml:space="preserve">BENGALI SANDHI MARK </t>
        </is>
      </c>
      <c r="C227" t="inlineStr"/>
      <c r="D227" t="inlineStr">
        <is>
          <t>x (newa sandhi mark - 1145E)</t>
        </is>
      </c>
    </row>
    <row r="228">
      <c r="A228" t="inlineStr">
        <is>
          <t>0A01</t>
        </is>
      </c>
      <c r="B228" t="inlineStr">
        <is>
          <t>GURMUKHI SIGN ADAK BINDI</t>
        </is>
      </c>
      <c r="C228" t="inlineStr"/>
      <c r="D228" t="inlineStr"/>
    </row>
    <row r="229">
      <c r="A229" t="inlineStr">
        <is>
          <t>0A02</t>
        </is>
      </c>
      <c r="B229" t="inlineStr">
        <is>
          <t>GURMUKHI SIGN BINDI</t>
        </is>
      </c>
      <c r="C229" t="inlineStr"/>
      <c r="D229" t="inlineStr"/>
    </row>
    <row r="230">
      <c r="A230" t="inlineStr">
        <is>
          <t>0A03</t>
        </is>
      </c>
      <c r="B230" t="inlineStr">
        <is>
          <t>GURMUKHI SIGN VISARGA</t>
        </is>
      </c>
      <c r="C230" t="inlineStr"/>
      <c r="D230" t="inlineStr"/>
    </row>
    <row r="231">
      <c r="A231" t="inlineStr">
        <is>
          <t>0A05</t>
        </is>
      </c>
      <c r="B231" t="inlineStr">
        <is>
          <t xml:space="preserve">GURMUKHI LETTER A </t>
        </is>
      </c>
      <c r="C231">
        <f> aira</f>
        <v/>
      </c>
      <c r="D231" t="inlineStr"/>
    </row>
    <row r="232">
      <c r="A232" t="inlineStr">
        <is>
          <t>0A06</t>
        </is>
      </c>
      <c r="B232" t="inlineStr">
        <is>
          <t>GURMUKHI LETTER AA</t>
        </is>
      </c>
      <c r="C232" t="inlineStr"/>
      <c r="D232" t="inlineStr"/>
    </row>
    <row r="233">
      <c r="A233" t="inlineStr">
        <is>
          <t>0A07</t>
        </is>
      </c>
      <c r="B233" t="inlineStr">
        <is>
          <t>GURMUKHI LETTER I</t>
        </is>
      </c>
      <c r="C233" t="inlineStr"/>
      <c r="D233" t="inlineStr"/>
    </row>
    <row r="234">
      <c r="A234" t="inlineStr">
        <is>
          <t>0A08</t>
        </is>
      </c>
      <c r="B234" t="inlineStr">
        <is>
          <t>GURMUKHI LETTER II</t>
        </is>
      </c>
      <c r="C234" t="inlineStr"/>
      <c r="D234" t="inlineStr"/>
    </row>
    <row r="235">
      <c r="A235" t="inlineStr">
        <is>
          <t>0A09</t>
        </is>
      </c>
      <c r="B235" t="inlineStr">
        <is>
          <t>GURMUKHI LETTER U</t>
        </is>
      </c>
      <c r="C235" t="inlineStr"/>
      <c r="D235" t="inlineStr"/>
    </row>
    <row r="236">
      <c r="A236" t="inlineStr">
        <is>
          <t>0A0A</t>
        </is>
      </c>
      <c r="B236" t="inlineStr">
        <is>
          <t>GURMUKHI LETTER UU</t>
        </is>
      </c>
      <c r="C236" t="inlineStr"/>
      <c r="D236" t="inlineStr"/>
    </row>
    <row r="237">
      <c r="A237" t="inlineStr">
        <is>
          <t>0A0F</t>
        </is>
      </c>
      <c r="B237" t="inlineStr">
        <is>
          <t>GURMUKHI LETTER EE</t>
        </is>
      </c>
      <c r="C237" t="inlineStr"/>
      <c r="D237" t="inlineStr"/>
    </row>
    <row r="238">
      <c r="A238" t="inlineStr">
        <is>
          <t>0A10</t>
        </is>
      </c>
      <c r="B238" t="inlineStr">
        <is>
          <t>GURMUKHI LETTER AI</t>
        </is>
      </c>
      <c r="C238" t="inlineStr"/>
      <c r="D238" t="inlineStr"/>
    </row>
    <row r="239">
      <c r="A239" t="inlineStr">
        <is>
          <t>0A13</t>
        </is>
      </c>
      <c r="B239" t="inlineStr">
        <is>
          <t>GURMUKHI LETTER OO</t>
        </is>
      </c>
      <c r="C239" t="inlineStr"/>
      <c r="D239" t="inlineStr"/>
    </row>
    <row r="240">
      <c r="A240" t="inlineStr">
        <is>
          <t>0A14</t>
        </is>
      </c>
      <c r="B240" t="inlineStr">
        <is>
          <t>GURMUKHI LETTER AU</t>
        </is>
      </c>
      <c r="C240" t="inlineStr"/>
      <c r="D240" t="inlineStr"/>
    </row>
    <row r="241">
      <c r="A241" t="inlineStr">
        <is>
          <t>0A15</t>
        </is>
      </c>
      <c r="B241" t="inlineStr">
        <is>
          <t>GURMUKHI LETTER KA</t>
        </is>
      </c>
      <c r="C241" t="inlineStr"/>
      <c r="D241" t="inlineStr"/>
    </row>
    <row r="242">
      <c r="A242" t="inlineStr">
        <is>
          <t>0A16</t>
        </is>
      </c>
      <c r="B242" t="inlineStr">
        <is>
          <t>GURMUKHI LETTER KHA</t>
        </is>
      </c>
      <c r="C242" t="inlineStr"/>
      <c r="D242" t="inlineStr"/>
    </row>
    <row r="243">
      <c r="A243" t="inlineStr">
        <is>
          <t>0A17</t>
        </is>
      </c>
      <c r="B243" t="inlineStr">
        <is>
          <t>GURMUKHI LETTER GA</t>
        </is>
      </c>
      <c r="C243" t="inlineStr"/>
      <c r="D243" t="inlineStr"/>
    </row>
    <row r="244">
      <c r="A244" t="inlineStr">
        <is>
          <t>0A18</t>
        </is>
      </c>
      <c r="B244" t="inlineStr">
        <is>
          <t>GURMUKHI LETTER GHA</t>
        </is>
      </c>
      <c r="C244" t="inlineStr"/>
      <c r="D244" t="inlineStr"/>
    </row>
    <row r="245">
      <c r="A245" t="inlineStr">
        <is>
          <t>0A19</t>
        </is>
      </c>
      <c r="B245" t="inlineStr">
        <is>
          <t>GURMUKHI LETTER NGA</t>
        </is>
      </c>
      <c r="C245" t="inlineStr"/>
      <c r="D245" t="inlineStr"/>
    </row>
    <row r="246">
      <c r="A246" t="inlineStr">
        <is>
          <t>0A1A</t>
        </is>
      </c>
      <c r="B246" t="inlineStr">
        <is>
          <t>GURMUKHI LETTER CA</t>
        </is>
      </c>
      <c r="C246" t="inlineStr"/>
      <c r="D246" t="inlineStr"/>
    </row>
    <row r="247">
      <c r="A247" t="inlineStr">
        <is>
          <t>0A1B</t>
        </is>
      </c>
      <c r="B247" t="inlineStr">
        <is>
          <t>GURMUKHI LETTER CHA</t>
        </is>
      </c>
      <c r="C247" t="inlineStr"/>
      <c r="D247" t="inlineStr"/>
    </row>
    <row r="248">
      <c r="A248" t="inlineStr">
        <is>
          <t>0A1C</t>
        </is>
      </c>
      <c r="B248" t="inlineStr">
        <is>
          <t>GURMUKHI LETTER JA</t>
        </is>
      </c>
      <c r="C248" t="inlineStr"/>
      <c r="D248" t="inlineStr"/>
    </row>
    <row r="249">
      <c r="A249" t="inlineStr">
        <is>
          <t>0A1D</t>
        </is>
      </c>
      <c r="B249" t="inlineStr">
        <is>
          <t>GURMUKHI LETTER JHA</t>
        </is>
      </c>
      <c r="C249" t="inlineStr"/>
      <c r="D249" t="inlineStr"/>
    </row>
    <row r="250">
      <c r="A250" t="inlineStr">
        <is>
          <t>0A1E</t>
        </is>
      </c>
      <c r="B250" t="inlineStr">
        <is>
          <t>GURMUKHI LETTER NYA</t>
        </is>
      </c>
      <c r="C250" t="inlineStr"/>
      <c r="D250" t="inlineStr"/>
    </row>
    <row r="251">
      <c r="A251" t="inlineStr">
        <is>
          <t>0A1F</t>
        </is>
      </c>
      <c r="B251" t="inlineStr">
        <is>
          <t>GURMUKHI LETTER TTA</t>
        </is>
      </c>
      <c r="C251" t="inlineStr"/>
      <c r="D251" t="inlineStr"/>
    </row>
    <row r="252">
      <c r="A252" t="inlineStr">
        <is>
          <t>0A20</t>
        </is>
      </c>
      <c r="B252" t="inlineStr">
        <is>
          <t>GURMUKHI LETTER TTHA</t>
        </is>
      </c>
      <c r="C252" t="inlineStr"/>
      <c r="D252" t="inlineStr"/>
    </row>
    <row r="253">
      <c r="A253" t="inlineStr">
        <is>
          <t>0A21</t>
        </is>
      </c>
      <c r="B253" t="inlineStr">
        <is>
          <t>GURMUKHI LETTER DDA</t>
        </is>
      </c>
      <c r="C253" t="inlineStr"/>
      <c r="D253" t="inlineStr"/>
    </row>
    <row r="254">
      <c r="A254" t="inlineStr">
        <is>
          <t>0A22</t>
        </is>
      </c>
      <c r="B254" t="inlineStr">
        <is>
          <t>GURMUKHI LETTER DDHA</t>
        </is>
      </c>
      <c r="C254" t="inlineStr"/>
      <c r="D254" t="inlineStr"/>
    </row>
    <row r="255">
      <c r="A255" t="inlineStr">
        <is>
          <t>0A23</t>
        </is>
      </c>
      <c r="B255" t="inlineStr">
        <is>
          <t>GURMUKHI LETTER NNA</t>
        </is>
      </c>
      <c r="C255" t="inlineStr"/>
      <c r="D255" t="inlineStr"/>
    </row>
    <row r="256">
      <c r="A256" t="inlineStr">
        <is>
          <t>0A24</t>
        </is>
      </c>
      <c r="B256" t="inlineStr">
        <is>
          <t>GURMUKHI LETTER TA</t>
        </is>
      </c>
      <c r="C256" t="inlineStr"/>
      <c r="D256" t="inlineStr"/>
    </row>
    <row r="257">
      <c r="A257" t="inlineStr">
        <is>
          <t>0A25</t>
        </is>
      </c>
      <c r="B257" t="inlineStr">
        <is>
          <t>GURMUKHI LETTER THA</t>
        </is>
      </c>
      <c r="C257" t="inlineStr"/>
      <c r="D257" t="inlineStr"/>
    </row>
    <row r="258">
      <c r="A258" t="inlineStr">
        <is>
          <t>0A26</t>
        </is>
      </c>
      <c r="B258" t="inlineStr">
        <is>
          <t>GURMUKHI LETTER DA</t>
        </is>
      </c>
      <c r="C258" t="inlineStr"/>
      <c r="D258" t="inlineStr"/>
    </row>
    <row r="259">
      <c r="A259" t="inlineStr">
        <is>
          <t>0A27</t>
        </is>
      </c>
      <c r="B259" t="inlineStr">
        <is>
          <t>GURMUKHI LETTER DHA</t>
        </is>
      </c>
      <c r="C259" t="inlineStr"/>
      <c r="D259" t="inlineStr"/>
    </row>
    <row r="260">
      <c r="A260" t="inlineStr">
        <is>
          <t>0A28</t>
        </is>
      </c>
      <c r="B260" t="inlineStr">
        <is>
          <t>GURMUKHI LETTER NA</t>
        </is>
      </c>
      <c r="C260" t="inlineStr"/>
      <c r="D260" t="inlineStr"/>
    </row>
    <row r="261">
      <c r="A261" t="inlineStr">
        <is>
          <t>0A2A</t>
        </is>
      </c>
      <c r="B261" t="inlineStr">
        <is>
          <t>GURMUKHI LETTER PA</t>
        </is>
      </c>
      <c r="C261" t="inlineStr"/>
      <c r="D261" t="inlineStr"/>
    </row>
    <row r="262">
      <c r="A262" t="inlineStr">
        <is>
          <t>0A2B</t>
        </is>
      </c>
      <c r="B262" t="inlineStr">
        <is>
          <t>GURMUKHI LETTER PHA</t>
        </is>
      </c>
      <c r="C262" t="inlineStr"/>
      <c r="D262" t="inlineStr"/>
    </row>
    <row r="263">
      <c r="A263" t="inlineStr">
        <is>
          <t>0A2C</t>
        </is>
      </c>
      <c r="B263" t="inlineStr">
        <is>
          <t>GURMUKHI LETTER BA</t>
        </is>
      </c>
      <c r="C263" t="inlineStr"/>
      <c r="D263" t="inlineStr"/>
    </row>
    <row r="264">
      <c r="A264" t="inlineStr">
        <is>
          <t>0A2D</t>
        </is>
      </c>
      <c r="B264" t="inlineStr">
        <is>
          <t>GURMUKHI LETTER BHA</t>
        </is>
      </c>
      <c r="C264" t="inlineStr"/>
      <c r="D264" t="inlineStr"/>
    </row>
    <row r="265">
      <c r="A265" t="inlineStr">
        <is>
          <t>0A2E</t>
        </is>
      </c>
      <c r="B265" t="inlineStr">
        <is>
          <t>GURMUKHI LETTER MA</t>
        </is>
      </c>
      <c r="C265" t="inlineStr"/>
      <c r="D265" t="inlineStr"/>
    </row>
    <row r="266">
      <c r="A266" t="inlineStr">
        <is>
          <t>0A2F</t>
        </is>
      </c>
      <c r="B266" t="inlineStr">
        <is>
          <t>GURMUKHI LETTER YA</t>
        </is>
      </c>
      <c r="C266" t="inlineStr"/>
      <c r="D266" t="inlineStr"/>
    </row>
    <row r="267">
      <c r="A267" t="inlineStr">
        <is>
          <t>0A30</t>
        </is>
      </c>
      <c r="B267" t="inlineStr">
        <is>
          <t>GURMUKHI LETTER RA</t>
        </is>
      </c>
      <c r="C267" t="inlineStr"/>
      <c r="D267" t="inlineStr"/>
    </row>
    <row r="268">
      <c r="A268" t="inlineStr">
        <is>
          <t>0A32</t>
        </is>
      </c>
      <c r="B268" t="inlineStr">
        <is>
          <t>GURMUKHI LETTER LA</t>
        </is>
      </c>
      <c r="C268" t="inlineStr"/>
      <c r="D268" t="inlineStr"/>
    </row>
    <row r="269">
      <c r="A269" t="inlineStr">
        <is>
          <t>0A33</t>
        </is>
      </c>
      <c r="B269" t="inlineStr">
        <is>
          <t xml:space="preserve">GURMUKHI LETTER LLA </t>
        </is>
      </c>
      <c r="C269" t="inlineStr"/>
      <c r="D269" t="inlineStr"/>
    </row>
    <row r="270">
      <c r="A270" t="inlineStr">
        <is>
          <t>0A35</t>
        </is>
      </c>
      <c r="B270" t="inlineStr">
        <is>
          <t>GURMUKHI LETTER VA</t>
        </is>
      </c>
      <c r="C270" t="inlineStr"/>
      <c r="D270" t="inlineStr"/>
    </row>
    <row r="271">
      <c r="A271" t="inlineStr">
        <is>
          <t>0A36</t>
        </is>
      </c>
      <c r="B271" t="inlineStr">
        <is>
          <t xml:space="preserve">GURMUKHI LETTER SHA </t>
        </is>
      </c>
      <c r="C271" t="inlineStr"/>
      <c r="D271" t="inlineStr"/>
    </row>
    <row r="272">
      <c r="A272" t="inlineStr">
        <is>
          <t>0A38</t>
        </is>
      </c>
      <c r="B272" t="inlineStr">
        <is>
          <t>GURMUKHI LETTER SA</t>
        </is>
      </c>
      <c r="C272" t="inlineStr"/>
      <c r="D272" t="inlineStr"/>
    </row>
    <row r="273">
      <c r="A273" t="inlineStr">
        <is>
          <t>0A39</t>
        </is>
      </c>
      <c r="B273" t="inlineStr">
        <is>
          <t>GURMUKHI LETTER HA</t>
        </is>
      </c>
      <c r="C273" t="inlineStr"/>
      <c r="D273" t="inlineStr"/>
    </row>
    <row r="274">
      <c r="A274" t="inlineStr">
        <is>
          <t>0A3C</t>
        </is>
      </c>
      <c r="B274" t="inlineStr">
        <is>
          <t xml:space="preserve">GURMUKHI SIGN NUKTA </t>
        </is>
      </c>
      <c r="C274">
        <f> pairin bindi</f>
        <v/>
      </c>
      <c r="D274" t="inlineStr"/>
    </row>
    <row r="275">
      <c r="A275" t="inlineStr">
        <is>
          <t>0A3E</t>
        </is>
      </c>
      <c r="B275" t="inlineStr">
        <is>
          <t xml:space="preserve">GURMUKHI VOWEL SIGN AA </t>
        </is>
      </c>
      <c r="C275">
        <f> kanna</f>
        <v/>
      </c>
      <c r="D275" t="inlineStr"/>
    </row>
    <row r="276">
      <c r="A276" t="inlineStr">
        <is>
          <t>0A3F</t>
        </is>
      </c>
      <c r="B276" t="inlineStr">
        <is>
          <t xml:space="preserve">GURMUKHI VOWEL SIGN I </t>
        </is>
      </c>
      <c r="C276">
        <f> sihari</f>
        <v/>
      </c>
      <c r="D276" t="inlineStr"/>
    </row>
    <row r="277">
      <c r="A277" t="inlineStr">
        <is>
          <t>0A40</t>
        </is>
      </c>
      <c r="B277" t="inlineStr">
        <is>
          <t xml:space="preserve">GURMUKHI VOWEL SIGN II </t>
        </is>
      </c>
      <c r="C277">
        <f> bihari</f>
        <v/>
      </c>
      <c r="D277" t="inlineStr"/>
    </row>
    <row r="278">
      <c r="A278" t="inlineStr">
        <is>
          <t>0A41</t>
        </is>
      </c>
      <c r="B278" t="inlineStr">
        <is>
          <t xml:space="preserve">GURMUKHI VOWEL SIGN U </t>
        </is>
      </c>
      <c r="C278">
        <f> aunkar</f>
        <v/>
      </c>
      <c r="D278" t="inlineStr"/>
    </row>
    <row r="279">
      <c r="A279" t="inlineStr">
        <is>
          <t>0A42</t>
        </is>
      </c>
      <c r="B279" t="inlineStr">
        <is>
          <t xml:space="preserve">GURMUKHI VOWEL SIGN UU </t>
        </is>
      </c>
      <c r="C279">
        <f> dulainkar</f>
        <v/>
      </c>
      <c r="D279" t="inlineStr"/>
    </row>
    <row r="280">
      <c r="A280" t="inlineStr">
        <is>
          <t>0A47</t>
        </is>
      </c>
      <c r="B280" t="inlineStr">
        <is>
          <t xml:space="preserve">GURMUKHI VOWEL SIGN EE </t>
        </is>
      </c>
      <c r="C280">
        <f> lanvan</f>
        <v/>
      </c>
      <c r="D280" t="inlineStr"/>
    </row>
    <row r="281">
      <c r="A281" t="inlineStr">
        <is>
          <t>0A48</t>
        </is>
      </c>
      <c r="B281" t="inlineStr">
        <is>
          <t xml:space="preserve">GURMUKHI VOWEL SIGN AI </t>
        </is>
      </c>
      <c r="C281">
        <f> dulanvan</f>
        <v/>
      </c>
      <c r="D281" t="inlineStr"/>
    </row>
    <row r="282">
      <c r="A282" t="inlineStr">
        <is>
          <t>0A4B</t>
        </is>
      </c>
      <c r="B282" t="inlineStr">
        <is>
          <t xml:space="preserve">GURMUKHI VOWEL SIGN OO </t>
        </is>
      </c>
      <c r="C282">
        <f> hora</f>
        <v/>
      </c>
      <c r="D282" t="inlineStr"/>
    </row>
    <row r="283">
      <c r="A283" t="inlineStr">
        <is>
          <t>0A4C</t>
        </is>
      </c>
      <c r="B283" t="inlineStr">
        <is>
          <t xml:space="preserve">GURMUKHI VOWEL SIGN AU </t>
        </is>
      </c>
      <c r="C283">
        <f> kanaura</f>
        <v/>
      </c>
      <c r="D283" t="inlineStr"/>
    </row>
    <row r="284">
      <c r="A284" t="inlineStr">
        <is>
          <t>0A4D</t>
        </is>
      </c>
      <c r="B284" t="inlineStr">
        <is>
          <t>GURMUKHI SIGN VIRAMA</t>
        </is>
      </c>
      <c r="C284" t="inlineStr"/>
      <c r="D284" t="inlineStr"/>
    </row>
    <row r="285">
      <c r="A285" t="inlineStr">
        <is>
          <t>0A51</t>
        </is>
      </c>
      <c r="B285" t="inlineStr">
        <is>
          <t>GURMUKHI SIGN UDAAT</t>
        </is>
      </c>
      <c r="C285" t="inlineStr"/>
      <c r="D285" t="inlineStr"/>
    </row>
    <row r="286">
      <c r="A286" t="inlineStr">
        <is>
          <t>0A59</t>
        </is>
      </c>
      <c r="B286" t="inlineStr">
        <is>
          <t xml:space="preserve">GURMUKHI LETTER KHHA </t>
        </is>
      </c>
      <c r="C286" t="inlineStr"/>
      <c r="D286" t="inlineStr"/>
    </row>
    <row r="287">
      <c r="A287" t="inlineStr">
        <is>
          <t>0A5A</t>
        </is>
      </c>
      <c r="B287" t="inlineStr">
        <is>
          <t xml:space="preserve">GURMUKHI LETTER GHHA </t>
        </is>
      </c>
      <c r="C287" t="inlineStr"/>
      <c r="D287" t="inlineStr"/>
    </row>
    <row r="288">
      <c r="A288" t="inlineStr">
        <is>
          <t>0A5B</t>
        </is>
      </c>
      <c r="B288" t="inlineStr">
        <is>
          <t xml:space="preserve">GURMUKHI LETTER ZA </t>
        </is>
      </c>
      <c r="C288" t="inlineStr"/>
      <c r="D288" t="inlineStr"/>
    </row>
    <row r="289">
      <c r="A289" t="inlineStr">
        <is>
          <t>0A5C</t>
        </is>
      </c>
      <c r="B289" t="inlineStr">
        <is>
          <t>GURMUKHI LETTER RRA</t>
        </is>
      </c>
      <c r="C289" t="inlineStr"/>
      <c r="D289" t="inlineStr"/>
    </row>
    <row r="290">
      <c r="A290" t="inlineStr">
        <is>
          <t>0A5E</t>
        </is>
      </c>
      <c r="B290" t="inlineStr">
        <is>
          <t xml:space="preserve">GURMUKHI LETTER FA </t>
        </is>
      </c>
      <c r="C290" t="inlineStr"/>
      <c r="D290" t="inlineStr"/>
    </row>
    <row r="291">
      <c r="A291" t="inlineStr">
        <is>
          <t>0A64</t>
        </is>
      </c>
      <c r="B291" t="inlineStr">
        <is>
          <t xml:space="preserve">&lt;reserved&gt; </t>
        </is>
      </c>
      <c r="C291" t="inlineStr"/>
      <c r="D291" t="inlineStr">
        <is>
          <t>x (devanagari danda - 0964)</t>
        </is>
      </c>
    </row>
    <row r="292">
      <c r="A292" t="inlineStr">
        <is>
          <t>0A65</t>
        </is>
      </c>
      <c r="B292" t="inlineStr">
        <is>
          <t xml:space="preserve">&lt;reserved&gt; </t>
        </is>
      </c>
      <c r="C292" t="inlineStr"/>
      <c r="D292" t="inlineStr">
        <is>
          <t>x (devanagari double danda - 0965)</t>
        </is>
      </c>
    </row>
    <row r="293">
      <c r="A293" t="inlineStr">
        <is>
          <t>0A66</t>
        </is>
      </c>
      <c r="B293" t="inlineStr">
        <is>
          <t>GURMUKHI DIGIT ZERO</t>
        </is>
      </c>
      <c r="C293" t="inlineStr"/>
      <c r="D293" t="inlineStr"/>
    </row>
    <row r="294">
      <c r="A294" t="inlineStr">
        <is>
          <t>0A67</t>
        </is>
      </c>
      <c r="B294" t="inlineStr">
        <is>
          <t>GURMUKHI DIGIT ONE</t>
        </is>
      </c>
      <c r="C294" t="inlineStr"/>
      <c r="D294" t="inlineStr"/>
    </row>
    <row r="295">
      <c r="A295" t="inlineStr">
        <is>
          <t>0A68</t>
        </is>
      </c>
      <c r="B295" t="inlineStr">
        <is>
          <t>GURMUKHI DIGIT TWO</t>
        </is>
      </c>
      <c r="C295" t="inlineStr"/>
      <c r="D295" t="inlineStr"/>
    </row>
    <row r="296">
      <c r="A296" t="inlineStr">
        <is>
          <t>0A69</t>
        </is>
      </c>
      <c r="B296" t="inlineStr">
        <is>
          <t>GURMUKHI DIGIT THREE</t>
        </is>
      </c>
      <c r="C296" t="inlineStr"/>
      <c r="D296" t="inlineStr"/>
    </row>
    <row r="297">
      <c r="A297" t="inlineStr">
        <is>
          <t>0A6A</t>
        </is>
      </c>
      <c r="B297" t="inlineStr">
        <is>
          <t>GURMUKHI DIGIT FOUR</t>
        </is>
      </c>
      <c r="C297" t="inlineStr"/>
      <c r="D297" t="inlineStr"/>
    </row>
    <row r="298">
      <c r="A298" t="inlineStr">
        <is>
          <t>0A6B</t>
        </is>
      </c>
      <c r="B298" t="inlineStr">
        <is>
          <t>GURMUKHI DIGIT FIVE</t>
        </is>
      </c>
      <c r="C298" t="inlineStr"/>
      <c r="D298" t="inlineStr"/>
    </row>
    <row r="299">
      <c r="A299" t="inlineStr">
        <is>
          <t>0A6C</t>
        </is>
      </c>
      <c r="B299" t="inlineStr">
        <is>
          <t>GURMUKHI DIGIT SIX</t>
        </is>
      </c>
      <c r="C299" t="inlineStr"/>
      <c r="D299" t="inlineStr"/>
    </row>
    <row r="300">
      <c r="A300" t="inlineStr">
        <is>
          <t>0A6D</t>
        </is>
      </c>
      <c r="B300" t="inlineStr">
        <is>
          <t>GURMUKHI DIGIT SEVEN</t>
        </is>
      </c>
      <c r="C300" t="inlineStr"/>
      <c r="D300" t="inlineStr"/>
    </row>
    <row r="301">
      <c r="A301" t="inlineStr">
        <is>
          <t>0A6E</t>
        </is>
      </c>
      <c r="B301" t="inlineStr">
        <is>
          <t>GURMUKHI DIGIT EIGHT</t>
        </is>
      </c>
      <c r="C301" t="inlineStr"/>
      <c r="D301" t="inlineStr"/>
    </row>
    <row r="302">
      <c r="A302" t="inlineStr">
        <is>
          <t>0A6F</t>
        </is>
      </c>
      <c r="B302" t="inlineStr">
        <is>
          <t>GURMUKHI DIGIT NINE</t>
        </is>
      </c>
      <c r="C302" t="inlineStr"/>
      <c r="D302" t="inlineStr"/>
    </row>
    <row r="303">
      <c r="A303" t="inlineStr">
        <is>
          <t>0A70</t>
        </is>
      </c>
      <c r="B303" t="inlineStr">
        <is>
          <t xml:space="preserve">GURMUKHI TIPPI </t>
        </is>
      </c>
      <c r="C303" t="inlineStr"/>
      <c r="D303" t="inlineStr"/>
    </row>
    <row r="304">
      <c r="A304" t="inlineStr">
        <is>
          <t>0A71</t>
        </is>
      </c>
      <c r="B304" t="inlineStr">
        <is>
          <t xml:space="preserve">GURMUKHI ADDAK </t>
        </is>
      </c>
      <c r="C304" t="inlineStr"/>
      <c r="D304" t="inlineStr"/>
    </row>
    <row r="305">
      <c r="A305" t="inlineStr">
        <is>
          <t>0A72</t>
        </is>
      </c>
      <c r="B305" t="inlineStr">
        <is>
          <t>GURMUKHI IRI</t>
        </is>
      </c>
      <c r="C305" t="inlineStr"/>
      <c r="D305" t="inlineStr"/>
    </row>
    <row r="306">
      <c r="A306" t="inlineStr">
        <is>
          <t>0A73</t>
        </is>
      </c>
      <c r="B306" t="inlineStr">
        <is>
          <t>GURMUKHI URA</t>
        </is>
      </c>
      <c r="C306" t="inlineStr"/>
      <c r="D306" t="inlineStr"/>
    </row>
    <row r="307">
      <c r="A307" t="inlineStr">
        <is>
          <t>0A74</t>
        </is>
      </c>
      <c r="B307" t="inlineStr">
        <is>
          <t xml:space="preserve">GURMUKHI EK ONKAR </t>
        </is>
      </c>
      <c r="C307" t="inlineStr"/>
      <c r="D307" t="inlineStr"/>
    </row>
    <row r="308">
      <c r="A308" t="inlineStr">
        <is>
          <t>0A75</t>
        </is>
      </c>
      <c r="B308" t="inlineStr">
        <is>
          <t xml:space="preserve">GURMUKHI SIGN YAKASH </t>
        </is>
      </c>
      <c r="C308" t="inlineStr"/>
      <c r="D308" t="inlineStr"/>
    </row>
    <row r="309">
      <c r="A309" t="inlineStr">
        <is>
          <t>0A76</t>
        </is>
      </c>
      <c r="B309" t="inlineStr">
        <is>
          <t xml:space="preserve">GURMUKHI ABBREVIATION SIGN </t>
        </is>
      </c>
      <c r="C309" t="inlineStr"/>
      <c r="D309" t="inlineStr">
        <is>
          <t>x (sharada abbreviation sign - 111C7)</t>
        </is>
      </c>
    </row>
    <row r="310">
      <c r="A310" t="inlineStr">
        <is>
          <t>0A81</t>
        </is>
      </c>
      <c r="B310" t="inlineStr">
        <is>
          <t>GUJARATI SIGN CANDRABINDU</t>
        </is>
      </c>
      <c r="C310" t="inlineStr"/>
      <c r="D310" t="inlineStr"/>
    </row>
    <row r="311">
      <c r="A311" t="inlineStr">
        <is>
          <t>0A82</t>
        </is>
      </c>
      <c r="B311" t="inlineStr">
        <is>
          <t>GUJARATI SIGN ANUSVARA</t>
        </is>
      </c>
      <c r="C311" t="inlineStr"/>
      <c r="D311" t="inlineStr"/>
    </row>
    <row r="312">
      <c r="A312" t="inlineStr">
        <is>
          <t>0A83</t>
        </is>
      </c>
      <c r="B312" t="inlineStr">
        <is>
          <t>GUJARATI SIGN VISARGA</t>
        </is>
      </c>
      <c r="C312" t="inlineStr"/>
      <c r="D312" t="inlineStr"/>
    </row>
    <row r="313">
      <c r="A313" t="inlineStr">
        <is>
          <t>0A85</t>
        </is>
      </c>
      <c r="B313" t="inlineStr">
        <is>
          <t>GUJARATI LETTER A</t>
        </is>
      </c>
      <c r="C313" t="inlineStr"/>
      <c r="D313" t="inlineStr"/>
    </row>
    <row r="314">
      <c r="A314" t="inlineStr">
        <is>
          <t>0A86</t>
        </is>
      </c>
      <c r="B314" t="inlineStr">
        <is>
          <t>GUJARATI LETTER AA</t>
        </is>
      </c>
      <c r="C314" t="inlineStr"/>
      <c r="D314" t="inlineStr"/>
    </row>
    <row r="315">
      <c r="A315" t="inlineStr">
        <is>
          <t>0A87</t>
        </is>
      </c>
      <c r="B315" t="inlineStr">
        <is>
          <t>GUJARATI LETTER I</t>
        </is>
      </c>
      <c r="C315" t="inlineStr"/>
      <c r="D315" t="inlineStr"/>
    </row>
    <row r="316">
      <c r="A316" t="inlineStr">
        <is>
          <t>0A88</t>
        </is>
      </c>
      <c r="B316" t="inlineStr">
        <is>
          <t>GUJARATI LETTER II</t>
        </is>
      </c>
      <c r="C316" t="inlineStr"/>
      <c r="D316" t="inlineStr"/>
    </row>
    <row r="317">
      <c r="A317" t="inlineStr">
        <is>
          <t>0A89</t>
        </is>
      </c>
      <c r="B317" t="inlineStr">
        <is>
          <t>GUJARATI LETTER U</t>
        </is>
      </c>
      <c r="C317" t="inlineStr"/>
      <c r="D317" t="inlineStr"/>
    </row>
    <row r="318">
      <c r="A318" t="inlineStr">
        <is>
          <t>0A8A</t>
        </is>
      </c>
      <c r="B318" t="inlineStr">
        <is>
          <t>GUJARATI LETTER UU</t>
        </is>
      </c>
      <c r="C318" t="inlineStr"/>
      <c r="D318" t="inlineStr"/>
    </row>
    <row r="319">
      <c r="A319" t="inlineStr">
        <is>
          <t>0A8B</t>
        </is>
      </c>
      <c r="B319" t="inlineStr">
        <is>
          <t>GUJARATI LETTER VOCALIC R</t>
        </is>
      </c>
      <c r="C319" t="inlineStr"/>
      <c r="D319" t="inlineStr"/>
    </row>
    <row r="320">
      <c r="A320" t="inlineStr">
        <is>
          <t>0A8C</t>
        </is>
      </c>
      <c r="B320" t="inlineStr">
        <is>
          <t xml:space="preserve">GUJARATI LETTER VOCALIC L </t>
        </is>
      </c>
      <c r="C320" t="inlineStr"/>
      <c r="D320" t="inlineStr"/>
    </row>
    <row r="321">
      <c r="A321" t="inlineStr">
        <is>
          <t>0A8D</t>
        </is>
      </c>
      <c r="B321" t="inlineStr">
        <is>
          <t>GUJARATI VOWEL CANDRA E</t>
        </is>
      </c>
      <c r="C321" t="inlineStr"/>
      <c r="D321" t="inlineStr"/>
    </row>
    <row r="322">
      <c r="A322" t="inlineStr">
        <is>
          <t>0A8F</t>
        </is>
      </c>
      <c r="B322" t="inlineStr">
        <is>
          <t>GUJARATI LETTER E</t>
        </is>
      </c>
      <c r="C322" t="inlineStr"/>
      <c r="D322" t="inlineStr"/>
    </row>
    <row r="323">
      <c r="A323" t="inlineStr">
        <is>
          <t>0A90</t>
        </is>
      </c>
      <c r="B323" t="inlineStr">
        <is>
          <t>GUJARATI LETTER AI</t>
        </is>
      </c>
      <c r="C323" t="inlineStr"/>
      <c r="D323" t="inlineStr"/>
    </row>
    <row r="324">
      <c r="A324" t="inlineStr">
        <is>
          <t>0A91</t>
        </is>
      </c>
      <c r="B324" t="inlineStr">
        <is>
          <t>GUJARATI VOWEL CANDRA O</t>
        </is>
      </c>
      <c r="C324" t="inlineStr"/>
      <c r="D324" t="inlineStr"/>
    </row>
    <row r="325">
      <c r="A325" t="inlineStr">
        <is>
          <t>0A93</t>
        </is>
      </c>
      <c r="B325" t="inlineStr">
        <is>
          <t>GUJARATI LETTER O</t>
        </is>
      </c>
      <c r="C325" t="inlineStr"/>
      <c r="D325" t="inlineStr"/>
    </row>
    <row r="326">
      <c r="A326" t="inlineStr">
        <is>
          <t>0A94</t>
        </is>
      </c>
      <c r="B326" t="inlineStr">
        <is>
          <t>GUJARATI LETTER AU</t>
        </is>
      </c>
      <c r="C326" t="inlineStr"/>
      <c r="D326" t="inlineStr"/>
    </row>
    <row r="327">
      <c r="A327" t="inlineStr">
        <is>
          <t>0A95</t>
        </is>
      </c>
      <c r="B327" t="inlineStr">
        <is>
          <t>GUJARATI LETTER KA</t>
        </is>
      </c>
      <c r="C327" t="inlineStr"/>
      <c r="D327" t="inlineStr"/>
    </row>
    <row r="328">
      <c r="A328" t="inlineStr">
        <is>
          <t>0A96</t>
        </is>
      </c>
      <c r="B328" t="inlineStr">
        <is>
          <t>GUJARATI LETTER KHA</t>
        </is>
      </c>
      <c r="C328" t="inlineStr"/>
      <c r="D328" t="inlineStr"/>
    </row>
    <row r="329">
      <c r="A329" t="inlineStr">
        <is>
          <t>0A97</t>
        </is>
      </c>
      <c r="B329" t="inlineStr">
        <is>
          <t>GUJARATI LETTER GA</t>
        </is>
      </c>
      <c r="C329" t="inlineStr"/>
      <c r="D329" t="inlineStr"/>
    </row>
    <row r="330">
      <c r="A330" t="inlineStr">
        <is>
          <t>0A98</t>
        </is>
      </c>
      <c r="B330" t="inlineStr">
        <is>
          <t>GUJARATI LETTER GHA</t>
        </is>
      </c>
      <c r="C330" t="inlineStr"/>
      <c r="D330" t="inlineStr"/>
    </row>
    <row r="331">
      <c r="A331" t="inlineStr">
        <is>
          <t>0A99</t>
        </is>
      </c>
      <c r="B331" t="inlineStr">
        <is>
          <t>GUJARATI LETTER NGA</t>
        </is>
      </c>
      <c r="C331" t="inlineStr"/>
      <c r="D331" t="inlineStr"/>
    </row>
    <row r="332">
      <c r="A332" t="inlineStr">
        <is>
          <t>0A9A</t>
        </is>
      </c>
      <c r="B332" t="inlineStr">
        <is>
          <t>GUJARATI LETTER CA</t>
        </is>
      </c>
      <c r="C332" t="inlineStr"/>
      <c r="D332" t="inlineStr"/>
    </row>
    <row r="333">
      <c r="A333" t="inlineStr">
        <is>
          <t>0A9B</t>
        </is>
      </c>
      <c r="B333" t="inlineStr">
        <is>
          <t>GUJARATI LETTER CHA</t>
        </is>
      </c>
      <c r="C333" t="inlineStr"/>
      <c r="D333" t="inlineStr"/>
    </row>
    <row r="334">
      <c r="A334" t="inlineStr">
        <is>
          <t>0A9C</t>
        </is>
      </c>
      <c r="B334" t="inlineStr">
        <is>
          <t>GUJARATI LETTER JA</t>
        </is>
      </c>
      <c r="C334" t="inlineStr"/>
      <c r="D334" t="inlineStr"/>
    </row>
    <row r="335">
      <c r="A335" t="inlineStr">
        <is>
          <t>0A9D</t>
        </is>
      </c>
      <c r="B335" t="inlineStr">
        <is>
          <t>GUJARATI LETTER JHA</t>
        </is>
      </c>
      <c r="C335" t="inlineStr"/>
      <c r="D335" t="inlineStr"/>
    </row>
    <row r="336">
      <c r="A336" t="inlineStr">
        <is>
          <t>0A9E</t>
        </is>
      </c>
      <c r="B336" t="inlineStr">
        <is>
          <t>GUJARATI LETTER NYA</t>
        </is>
      </c>
      <c r="C336" t="inlineStr"/>
      <c r="D336" t="inlineStr"/>
    </row>
    <row r="337">
      <c r="A337" t="inlineStr">
        <is>
          <t>0A9F</t>
        </is>
      </c>
      <c r="B337" t="inlineStr">
        <is>
          <t>GUJARATI LETTER TTA</t>
        </is>
      </c>
      <c r="C337" t="inlineStr"/>
      <c r="D337" t="inlineStr"/>
    </row>
    <row r="338">
      <c r="A338" t="inlineStr">
        <is>
          <t>0AA0</t>
        </is>
      </c>
      <c r="B338" t="inlineStr">
        <is>
          <t>GUJARATI LETTER TTHA</t>
        </is>
      </c>
      <c r="C338" t="inlineStr"/>
      <c r="D338" t="inlineStr"/>
    </row>
    <row r="339">
      <c r="A339" t="inlineStr">
        <is>
          <t>0AA1</t>
        </is>
      </c>
      <c r="B339" t="inlineStr">
        <is>
          <t>GUJARATI LETTER DDA</t>
        </is>
      </c>
      <c r="C339" t="inlineStr"/>
      <c r="D339" t="inlineStr"/>
    </row>
    <row r="340">
      <c r="A340" t="inlineStr">
        <is>
          <t>0AA2</t>
        </is>
      </c>
      <c r="B340" t="inlineStr">
        <is>
          <t>GUJARATI LETTER DDHA</t>
        </is>
      </c>
      <c r="C340" t="inlineStr"/>
      <c r="D340" t="inlineStr"/>
    </row>
    <row r="341">
      <c r="A341" t="inlineStr">
        <is>
          <t>0AA3</t>
        </is>
      </c>
      <c r="B341" t="inlineStr">
        <is>
          <t>GUJARATI LETTER NNA</t>
        </is>
      </c>
      <c r="C341" t="inlineStr"/>
      <c r="D341" t="inlineStr"/>
    </row>
    <row r="342">
      <c r="A342" t="inlineStr">
        <is>
          <t>0AA4</t>
        </is>
      </c>
      <c r="B342" t="inlineStr">
        <is>
          <t>GUJARATI LETTER TA</t>
        </is>
      </c>
      <c r="C342" t="inlineStr"/>
      <c r="D342" t="inlineStr"/>
    </row>
    <row r="343">
      <c r="A343" t="inlineStr">
        <is>
          <t>0AA5</t>
        </is>
      </c>
      <c r="B343" t="inlineStr">
        <is>
          <t>GUJARATI LETTER THA</t>
        </is>
      </c>
      <c r="C343" t="inlineStr"/>
      <c r="D343" t="inlineStr"/>
    </row>
    <row r="344">
      <c r="A344" t="inlineStr">
        <is>
          <t>0AA6</t>
        </is>
      </c>
      <c r="B344" t="inlineStr">
        <is>
          <t>GUJARATI LETTER DA</t>
        </is>
      </c>
      <c r="C344" t="inlineStr"/>
      <c r="D344" t="inlineStr"/>
    </row>
    <row r="345">
      <c r="A345" t="inlineStr">
        <is>
          <t>0AA7</t>
        </is>
      </c>
      <c r="B345" t="inlineStr">
        <is>
          <t>GUJARATI LETTER DHA</t>
        </is>
      </c>
      <c r="C345" t="inlineStr"/>
      <c r="D345" t="inlineStr"/>
    </row>
    <row r="346">
      <c r="A346" t="inlineStr">
        <is>
          <t>0AA8</t>
        </is>
      </c>
      <c r="B346" t="inlineStr">
        <is>
          <t>GUJARATI LETTER NA</t>
        </is>
      </c>
      <c r="C346" t="inlineStr"/>
      <c r="D346" t="inlineStr"/>
    </row>
    <row r="347">
      <c r="A347" t="inlineStr">
        <is>
          <t>0AAA</t>
        </is>
      </c>
      <c r="B347" t="inlineStr">
        <is>
          <t>GUJARATI LETTER PA</t>
        </is>
      </c>
      <c r="C347" t="inlineStr"/>
      <c r="D347" t="inlineStr"/>
    </row>
    <row r="348">
      <c r="A348" t="inlineStr">
        <is>
          <t>0AAB</t>
        </is>
      </c>
      <c r="B348" t="inlineStr">
        <is>
          <t>GUJARATI LETTER PHA</t>
        </is>
      </c>
      <c r="C348" t="inlineStr"/>
      <c r="D348" t="inlineStr"/>
    </row>
    <row r="349">
      <c r="A349" t="inlineStr">
        <is>
          <t>0AAC</t>
        </is>
      </c>
      <c r="B349" t="inlineStr">
        <is>
          <t>GUJARATI LETTER BA</t>
        </is>
      </c>
      <c r="C349" t="inlineStr"/>
      <c r="D349" t="inlineStr"/>
    </row>
    <row r="350">
      <c r="A350" t="inlineStr">
        <is>
          <t>0AAD</t>
        </is>
      </c>
      <c r="B350" t="inlineStr">
        <is>
          <t>GUJARATI LETTER BHA</t>
        </is>
      </c>
      <c r="C350" t="inlineStr"/>
      <c r="D350" t="inlineStr"/>
    </row>
    <row r="351">
      <c r="A351" t="inlineStr">
        <is>
          <t>0AAE</t>
        </is>
      </c>
      <c r="B351" t="inlineStr">
        <is>
          <t>GUJARATI LETTER MA</t>
        </is>
      </c>
      <c r="C351" t="inlineStr"/>
      <c r="D351" t="inlineStr"/>
    </row>
    <row r="352">
      <c r="A352" t="inlineStr">
        <is>
          <t>0AAF</t>
        </is>
      </c>
      <c r="B352" t="inlineStr">
        <is>
          <t>GUJARATI LETTER YA</t>
        </is>
      </c>
      <c r="C352" t="inlineStr"/>
      <c r="D352" t="inlineStr"/>
    </row>
    <row r="353">
      <c r="A353" t="inlineStr">
        <is>
          <t>0AB0</t>
        </is>
      </c>
      <c r="B353" t="inlineStr">
        <is>
          <t>GUJARATI LETTER RA</t>
        </is>
      </c>
      <c r="C353" t="inlineStr"/>
      <c r="D353" t="inlineStr"/>
    </row>
    <row r="354">
      <c r="A354" t="inlineStr">
        <is>
          <t>0AB2</t>
        </is>
      </c>
      <c r="B354" t="inlineStr">
        <is>
          <t>GUJARATI LETTER LA</t>
        </is>
      </c>
      <c r="C354" t="inlineStr"/>
      <c r="D354" t="inlineStr"/>
    </row>
    <row r="355">
      <c r="A355" t="inlineStr">
        <is>
          <t>0AB3</t>
        </is>
      </c>
      <c r="B355" t="inlineStr">
        <is>
          <t>GUJARATI LETTER LLA</t>
        </is>
      </c>
      <c r="C355" t="inlineStr"/>
      <c r="D355" t="inlineStr"/>
    </row>
    <row r="356">
      <c r="A356" t="inlineStr">
        <is>
          <t>0AB5</t>
        </is>
      </c>
      <c r="B356" t="inlineStr">
        <is>
          <t>GUJARATI LETTER VA</t>
        </is>
      </c>
      <c r="C356" t="inlineStr"/>
      <c r="D356" t="inlineStr"/>
    </row>
    <row r="357">
      <c r="A357" t="inlineStr">
        <is>
          <t>0AB6</t>
        </is>
      </c>
      <c r="B357" t="inlineStr">
        <is>
          <t>GUJARATI LETTER SHA</t>
        </is>
      </c>
      <c r="C357" t="inlineStr"/>
      <c r="D357" t="inlineStr"/>
    </row>
    <row r="358">
      <c r="A358" t="inlineStr">
        <is>
          <t>0AB7</t>
        </is>
      </c>
      <c r="B358" t="inlineStr">
        <is>
          <t>GUJARATI LETTER SSA</t>
        </is>
      </c>
      <c r="C358" t="inlineStr"/>
      <c r="D358" t="inlineStr"/>
    </row>
    <row r="359">
      <c r="A359" t="inlineStr">
        <is>
          <t>0AB8</t>
        </is>
      </c>
      <c r="B359" t="inlineStr">
        <is>
          <t>GUJARATI LETTER SA</t>
        </is>
      </c>
      <c r="C359" t="inlineStr"/>
      <c r="D359" t="inlineStr"/>
    </row>
    <row r="360">
      <c r="A360" t="inlineStr">
        <is>
          <t>0AB9</t>
        </is>
      </c>
      <c r="B360" t="inlineStr">
        <is>
          <t>GUJARATI LETTER HA</t>
        </is>
      </c>
      <c r="C360" t="inlineStr"/>
      <c r="D360" t="inlineStr"/>
    </row>
    <row r="361">
      <c r="A361" t="inlineStr">
        <is>
          <t>0ABC</t>
        </is>
      </c>
      <c r="B361" t="inlineStr">
        <is>
          <t xml:space="preserve">GUJARATI SIGN NUKTA </t>
        </is>
      </c>
      <c r="C361" t="inlineStr"/>
      <c r="D361" t="inlineStr"/>
    </row>
    <row r="362">
      <c r="A362" t="inlineStr">
        <is>
          <t>0ABD</t>
        </is>
      </c>
      <c r="B362" t="inlineStr">
        <is>
          <t>GUJARATI SIGN AVAGRAHA</t>
        </is>
      </c>
      <c r="C362" t="inlineStr"/>
      <c r="D362" t="inlineStr"/>
    </row>
    <row r="363">
      <c r="A363" t="inlineStr">
        <is>
          <t>0ABE</t>
        </is>
      </c>
      <c r="B363" t="inlineStr">
        <is>
          <t>GUJARATI VOWEL SIGN AA</t>
        </is>
      </c>
      <c r="C363" t="inlineStr"/>
      <c r="D363" t="inlineStr"/>
    </row>
    <row r="364">
      <c r="A364" t="inlineStr">
        <is>
          <t>0ABF</t>
        </is>
      </c>
      <c r="B364" t="inlineStr">
        <is>
          <t xml:space="preserve">GUJARATI VOWEL SIGN I </t>
        </is>
      </c>
      <c r="C364" t="inlineStr"/>
      <c r="D364" t="inlineStr"/>
    </row>
    <row r="365">
      <c r="A365" t="inlineStr">
        <is>
          <t>0AC0</t>
        </is>
      </c>
      <c r="B365" t="inlineStr">
        <is>
          <t>GUJARATI VOWEL SIGN II</t>
        </is>
      </c>
      <c r="C365" t="inlineStr"/>
      <c r="D365" t="inlineStr"/>
    </row>
    <row r="366">
      <c r="A366" t="inlineStr">
        <is>
          <t>0AC1</t>
        </is>
      </c>
      <c r="B366" t="inlineStr">
        <is>
          <t>GUJARATI VOWEL SIGN U</t>
        </is>
      </c>
      <c r="C366" t="inlineStr"/>
      <c r="D366" t="inlineStr"/>
    </row>
    <row r="367">
      <c r="A367" t="inlineStr">
        <is>
          <t>0AC2</t>
        </is>
      </c>
      <c r="B367" t="inlineStr">
        <is>
          <t>GUJARATI VOWEL SIGN UU</t>
        </is>
      </c>
      <c r="C367" t="inlineStr"/>
      <c r="D367" t="inlineStr"/>
    </row>
    <row r="368">
      <c r="A368" t="inlineStr">
        <is>
          <t>0AC3</t>
        </is>
      </c>
      <c r="B368" t="inlineStr">
        <is>
          <t>GUJARATI VOWEL SIGN VOCALIC R</t>
        </is>
      </c>
      <c r="C368" t="inlineStr"/>
      <c r="D368" t="inlineStr"/>
    </row>
    <row r="369">
      <c r="A369" t="inlineStr">
        <is>
          <t>0AC4</t>
        </is>
      </c>
      <c r="B369" t="inlineStr">
        <is>
          <t>GUJARATI VOWEL SIGN VOCALIC RR</t>
        </is>
      </c>
      <c r="C369" t="inlineStr"/>
      <c r="D369" t="inlineStr"/>
    </row>
    <row r="370">
      <c r="A370" t="inlineStr">
        <is>
          <t>0AC5</t>
        </is>
      </c>
      <c r="B370" t="inlineStr">
        <is>
          <t>GUJARATI VOWEL SIGN CANDRA E</t>
        </is>
      </c>
      <c r="C370" t="inlineStr"/>
      <c r="D370" t="inlineStr"/>
    </row>
    <row r="371">
      <c r="A371" t="inlineStr">
        <is>
          <t>0AC7</t>
        </is>
      </c>
      <c r="B371" t="inlineStr">
        <is>
          <t>GUJARATI VOWEL SIGN E</t>
        </is>
      </c>
      <c r="C371" t="inlineStr"/>
      <c r="D371" t="inlineStr"/>
    </row>
    <row r="372">
      <c r="A372" t="inlineStr">
        <is>
          <t>0AC8</t>
        </is>
      </c>
      <c r="B372" t="inlineStr">
        <is>
          <t>GUJARATI VOWEL SIGN AI</t>
        </is>
      </c>
      <c r="C372" t="inlineStr"/>
      <c r="D372" t="inlineStr"/>
    </row>
    <row r="373">
      <c r="A373" t="inlineStr">
        <is>
          <t>0AC9</t>
        </is>
      </c>
      <c r="B373" t="inlineStr">
        <is>
          <t>GUJARATI VOWEL SIGN CANDRA O</t>
        </is>
      </c>
      <c r="C373" t="inlineStr"/>
      <c r="D373" t="inlineStr"/>
    </row>
    <row r="374">
      <c r="A374" t="inlineStr">
        <is>
          <t>0ACB</t>
        </is>
      </c>
      <c r="B374" t="inlineStr">
        <is>
          <t>GUJARATI VOWEL SIGN O</t>
        </is>
      </c>
      <c r="C374" t="inlineStr"/>
      <c r="D374" t="inlineStr"/>
    </row>
    <row r="375">
      <c r="A375" t="inlineStr">
        <is>
          <t>0ACC</t>
        </is>
      </c>
      <c r="B375" t="inlineStr">
        <is>
          <t>GUJARATI VOWEL SIGN AU</t>
        </is>
      </c>
      <c r="C375" t="inlineStr"/>
      <c r="D375" t="inlineStr"/>
    </row>
    <row r="376">
      <c r="A376" t="inlineStr">
        <is>
          <t>0ACD</t>
        </is>
      </c>
      <c r="B376" t="inlineStr">
        <is>
          <t>GUJARATI SIGN VIRAMA</t>
        </is>
      </c>
      <c r="C376" t="inlineStr"/>
      <c r="D376" t="inlineStr"/>
    </row>
    <row r="377">
      <c r="A377" t="inlineStr">
        <is>
          <t>0AD0</t>
        </is>
      </c>
      <c r="B377" t="inlineStr">
        <is>
          <t>GUJARATI OM</t>
        </is>
      </c>
      <c r="C377" t="inlineStr"/>
      <c r="D377" t="inlineStr"/>
    </row>
    <row r="378">
      <c r="A378" t="inlineStr">
        <is>
          <t>0AE0</t>
        </is>
      </c>
      <c r="B378" t="inlineStr">
        <is>
          <t>GUJARATI LETTER VOCALIC RR</t>
        </is>
      </c>
      <c r="C378" t="inlineStr"/>
      <c r="D378" t="inlineStr"/>
    </row>
    <row r="379">
      <c r="A379" t="inlineStr">
        <is>
          <t>0AE1</t>
        </is>
      </c>
      <c r="B379" t="inlineStr">
        <is>
          <t>GUJARATI LETTER VOCALIC LL</t>
        </is>
      </c>
      <c r="C379" t="inlineStr"/>
      <c r="D379" t="inlineStr"/>
    </row>
    <row r="380">
      <c r="A380" t="inlineStr">
        <is>
          <t>0AE2</t>
        </is>
      </c>
      <c r="B380" t="inlineStr">
        <is>
          <t>GUJARATI VOWEL SIGN VOCALIC L</t>
        </is>
      </c>
      <c r="C380" t="inlineStr"/>
      <c r="D380" t="inlineStr"/>
    </row>
    <row r="381">
      <c r="A381" t="inlineStr">
        <is>
          <t>0AE3</t>
        </is>
      </c>
      <c r="B381" t="inlineStr">
        <is>
          <t>GUJARATI VOWEL SIGN VOCALIC LL</t>
        </is>
      </c>
      <c r="C381" t="inlineStr"/>
      <c r="D381" t="inlineStr"/>
    </row>
    <row r="382">
      <c r="A382" t="inlineStr">
        <is>
          <t>0AE4</t>
        </is>
      </c>
      <c r="B382" t="inlineStr">
        <is>
          <t xml:space="preserve">&lt;reserved&gt; </t>
        </is>
      </c>
      <c r="C382" t="inlineStr"/>
      <c r="D382" t="inlineStr">
        <is>
          <t>x (devanagari danda - 0964)</t>
        </is>
      </c>
    </row>
    <row r="383">
      <c r="A383" t="inlineStr">
        <is>
          <t>0AE5</t>
        </is>
      </c>
      <c r="B383" t="inlineStr">
        <is>
          <t xml:space="preserve">&lt;reserved&gt; </t>
        </is>
      </c>
      <c r="C383" t="inlineStr"/>
      <c r="D383" t="inlineStr">
        <is>
          <t>x (devanagari double danda - 0965)</t>
        </is>
      </c>
    </row>
    <row r="384">
      <c r="A384" t="inlineStr">
        <is>
          <t>0AE6</t>
        </is>
      </c>
      <c r="B384" t="inlineStr">
        <is>
          <t>GUJARATI DIGIT ZERO</t>
        </is>
      </c>
      <c r="C384" t="inlineStr"/>
      <c r="D384" t="inlineStr"/>
    </row>
    <row r="385">
      <c r="A385" t="inlineStr">
        <is>
          <t>0AE7</t>
        </is>
      </c>
      <c r="B385" t="inlineStr">
        <is>
          <t>GUJARATI DIGIT ONE</t>
        </is>
      </c>
      <c r="C385" t="inlineStr"/>
      <c r="D385" t="inlineStr"/>
    </row>
    <row r="386">
      <c r="A386" t="inlineStr">
        <is>
          <t>0AE8</t>
        </is>
      </c>
      <c r="B386" t="inlineStr">
        <is>
          <t>GUJARATI DIGIT TWO</t>
        </is>
      </c>
      <c r="C386" t="inlineStr"/>
      <c r="D386" t="inlineStr"/>
    </row>
    <row r="387">
      <c r="A387" t="inlineStr">
        <is>
          <t>0AE9</t>
        </is>
      </c>
      <c r="B387" t="inlineStr">
        <is>
          <t>GUJARATI DIGIT THREE</t>
        </is>
      </c>
      <c r="C387" t="inlineStr"/>
      <c r="D387" t="inlineStr"/>
    </row>
    <row r="388">
      <c r="A388" t="inlineStr">
        <is>
          <t>0AEA</t>
        </is>
      </c>
      <c r="B388" t="inlineStr">
        <is>
          <t>GUJARATI DIGIT FOUR</t>
        </is>
      </c>
      <c r="C388" t="inlineStr"/>
      <c r="D388" t="inlineStr"/>
    </row>
    <row r="389">
      <c r="A389" t="inlineStr">
        <is>
          <t>0AEB</t>
        </is>
      </c>
      <c r="B389" t="inlineStr">
        <is>
          <t>GUJARATI DIGIT FIVE</t>
        </is>
      </c>
      <c r="C389" t="inlineStr"/>
      <c r="D389" t="inlineStr"/>
    </row>
    <row r="390">
      <c r="A390" t="inlineStr">
        <is>
          <t>0AEC</t>
        </is>
      </c>
      <c r="B390" t="inlineStr">
        <is>
          <t>GUJARATI DIGIT SIX</t>
        </is>
      </c>
      <c r="C390" t="inlineStr"/>
      <c r="D390" t="inlineStr"/>
    </row>
    <row r="391">
      <c r="A391" t="inlineStr">
        <is>
          <t>0AED</t>
        </is>
      </c>
      <c r="B391" t="inlineStr">
        <is>
          <t>GUJARATI DIGIT SEVEN</t>
        </is>
      </c>
      <c r="C391" t="inlineStr"/>
      <c r="D391" t="inlineStr"/>
    </row>
    <row r="392">
      <c r="A392" t="inlineStr">
        <is>
          <t>0AEE</t>
        </is>
      </c>
      <c r="B392" t="inlineStr">
        <is>
          <t>GUJARATI DIGIT EIGHT</t>
        </is>
      </c>
      <c r="C392" t="inlineStr"/>
      <c r="D392" t="inlineStr"/>
    </row>
    <row r="393">
      <c r="A393" t="inlineStr">
        <is>
          <t>0AEF</t>
        </is>
      </c>
      <c r="B393" t="inlineStr">
        <is>
          <t>GUJARATI DIGIT NINE</t>
        </is>
      </c>
      <c r="C393" t="inlineStr"/>
      <c r="D393" t="inlineStr"/>
    </row>
    <row r="394">
      <c r="A394" t="inlineStr">
        <is>
          <t>0AF0</t>
        </is>
      </c>
      <c r="B394" t="inlineStr">
        <is>
          <t>GUJARATI ABBREVIATION SIGN</t>
        </is>
      </c>
      <c r="C394" t="inlineStr"/>
      <c r="D394" t="inlineStr"/>
    </row>
    <row r="395">
      <c r="A395" t="inlineStr">
        <is>
          <t>0AF1</t>
        </is>
      </c>
      <c r="B395" t="inlineStr">
        <is>
          <t xml:space="preserve">GUJARATI RUPEE SIGN </t>
        </is>
      </c>
      <c r="C395" t="inlineStr"/>
      <c r="D395" t="inlineStr"/>
    </row>
    <row r="396">
      <c r="A396" t="inlineStr">
        <is>
          <t>0AF9</t>
        </is>
      </c>
      <c r="B396" t="inlineStr">
        <is>
          <t xml:space="preserve">GUJARATI LETTER ZHA </t>
        </is>
      </c>
      <c r="C396" t="inlineStr"/>
      <c r="D396" t="inlineStr">
        <is>
          <t>x (devanagari letter zha - 0979)</t>
        </is>
      </c>
    </row>
    <row r="397">
      <c r="A397" t="inlineStr">
        <is>
          <t>0AFA</t>
        </is>
      </c>
      <c r="B397" t="inlineStr">
        <is>
          <t>GUJARATI SIGN SUKUN</t>
        </is>
      </c>
      <c r="C397" t="inlineStr"/>
      <c r="D397" t="inlineStr"/>
    </row>
    <row r="398">
      <c r="A398" t="inlineStr">
        <is>
          <t>0AFB</t>
        </is>
      </c>
      <c r="B398" t="inlineStr">
        <is>
          <t>GUJARATI SIGN SHADDA</t>
        </is>
      </c>
      <c r="C398" t="inlineStr"/>
      <c r="D398" t="inlineStr"/>
    </row>
    <row r="399">
      <c r="A399" t="inlineStr">
        <is>
          <t>0AFC</t>
        </is>
      </c>
      <c r="B399" t="inlineStr">
        <is>
          <t>GUJARATI SIGN MADDAH</t>
        </is>
      </c>
      <c r="C399" t="inlineStr"/>
      <c r="D399" t="inlineStr"/>
    </row>
    <row r="400">
      <c r="A400" t="inlineStr">
        <is>
          <t>0AFD</t>
        </is>
      </c>
      <c r="B400" t="inlineStr">
        <is>
          <t>GUJARATI SIGN THREE-DOT NUKTA ABOVE</t>
        </is>
      </c>
      <c r="C400" t="inlineStr"/>
      <c r="D400" t="inlineStr"/>
    </row>
    <row r="401">
      <c r="A401" t="inlineStr">
        <is>
          <t>0AFE</t>
        </is>
      </c>
      <c r="B401" t="inlineStr">
        <is>
          <t>GUJARATI SIGN CIRCLE NUKTA ABOVE</t>
        </is>
      </c>
      <c r="C401" t="inlineStr"/>
      <c r="D401" t="inlineStr"/>
    </row>
    <row r="402">
      <c r="A402" t="inlineStr">
        <is>
          <t>0AFF</t>
        </is>
      </c>
      <c r="B402" t="inlineStr">
        <is>
          <t>GUJARATI SIGN TWO-CIRCLE NUKTA ABOVE</t>
        </is>
      </c>
      <c r="C402" t="inlineStr"/>
      <c r="D402" t="inlineStr"/>
    </row>
    <row r="403">
      <c r="A403" t="inlineStr">
        <is>
          <t>0B01</t>
        </is>
      </c>
      <c r="B403" t="inlineStr">
        <is>
          <t>ORIYA SIGN CANDRABINDU</t>
        </is>
      </c>
      <c r="C403" t="inlineStr"/>
      <c r="D403" t="inlineStr"/>
    </row>
    <row r="404">
      <c r="A404" t="inlineStr">
        <is>
          <t>0B02</t>
        </is>
      </c>
      <c r="B404" t="inlineStr">
        <is>
          <t>ORIYA SIGN ANUSVARA</t>
        </is>
      </c>
      <c r="C404" t="inlineStr"/>
      <c r="D404" t="inlineStr"/>
    </row>
    <row r="405">
      <c r="A405" t="inlineStr">
        <is>
          <t>0B03</t>
        </is>
      </c>
      <c r="B405" t="inlineStr">
        <is>
          <t>ORIYA SIGN VISARGA</t>
        </is>
      </c>
      <c r="C405" t="inlineStr"/>
      <c r="D405" t="inlineStr"/>
    </row>
    <row r="406">
      <c r="A406" t="inlineStr">
        <is>
          <t>0B05</t>
        </is>
      </c>
      <c r="B406" t="inlineStr">
        <is>
          <t>ORIYA LETTER A</t>
        </is>
      </c>
      <c r="C406" t="inlineStr"/>
      <c r="D406" t="inlineStr"/>
    </row>
    <row r="407">
      <c r="A407" t="inlineStr">
        <is>
          <t>0B06</t>
        </is>
      </c>
      <c r="B407" t="inlineStr">
        <is>
          <t>ORIYA LETTER AA</t>
        </is>
      </c>
      <c r="C407" t="inlineStr"/>
      <c r="D407" t="inlineStr"/>
    </row>
    <row r="408">
      <c r="A408" t="inlineStr">
        <is>
          <t>0B07</t>
        </is>
      </c>
      <c r="B408" t="inlineStr">
        <is>
          <t>ORIYA LETTER I</t>
        </is>
      </c>
      <c r="C408" t="inlineStr"/>
      <c r="D408" t="inlineStr"/>
    </row>
    <row r="409">
      <c r="A409" t="inlineStr">
        <is>
          <t>0B08</t>
        </is>
      </c>
      <c r="B409" t="inlineStr">
        <is>
          <t>ORIYA LETTER II</t>
        </is>
      </c>
      <c r="C409" t="inlineStr"/>
      <c r="D409" t="inlineStr"/>
    </row>
    <row r="410">
      <c r="A410" t="inlineStr">
        <is>
          <t>0B09</t>
        </is>
      </c>
      <c r="B410" t="inlineStr">
        <is>
          <t>ORIYA LETTER U</t>
        </is>
      </c>
      <c r="C410" t="inlineStr"/>
      <c r="D410" t="inlineStr"/>
    </row>
    <row r="411">
      <c r="A411" t="inlineStr">
        <is>
          <t>0B0A</t>
        </is>
      </c>
      <c r="B411" t="inlineStr">
        <is>
          <t>ORIYA LETTER UU</t>
        </is>
      </c>
      <c r="C411" t="inlineStr"/>
      <c r="D411" t="inlineStr"/>
    </row>
    <row r="412">
      <c r="A412" t="inlineStr">
        <is>
          <t>0B0B</t>
        </is>
      </c>
      <c r="B412" t="inlineStr">
        <is>
          <t>ORIYA LETTER VOCALIC R</t>
        </is>
      </c>
      <c r="C412" t="inlineStr"/>
      <c r="D412" t="inlineStr"/>
    </row>
    <row r="413">
      <c r="A413" t="inlineStr">
        <is>
          <t>0B0C</t>
        </is>
      </c>
      <c r="B413" t="inlineStr">
        <is>
          <t>ORIYA LETTER VOCALIC L</t>
        </is>
      </c>
      <c r="C413" t="inlineStr"/>
      <c r="D413" t="inlineStr"/>
    </row>
    <row r="414">
      <c r="A414" t="inlineStr">
        <is>
          <t>0B0F</t>
        </is>
      </c>
      <c r="B414" t="inlineStr">
        <is>
          <t>ORIYA LETTER E</t>
        </is>
      </c>
      <c r="C414" t="inlineStr"/>
      <c r="D414" t="inlineStr"/>
    </row>
    <row r="415">
      <c r="A415" t="inlineStr">
        <is>
          <t>0B10</t>
        </is>
      </c>
      <c r="B415" t="inlineStr">
        <is>
          <t>ORIYA LETTER AI</t>
        </is>
      </c>
      <c r="C415" t="inlineStr"/>
      <c r="D415" t="inlineStr"/>
    </row>
    <row r="416">
      <c r="A416" t="inlineStr">
        <is>
          <t>0B13</t>
        </is>
      </c>
      <c r="B416" t="inlineStr">
        <is>
          <t>ORIYA LETTER O</t>
        </is>
      </c>
      <c r="C416" t="inlineStr"/>
      <c r="D416" t="inlineStr"/>
    </row>
    <row r="417">
      <c r="A417" t="inlineStr">
        <is>
          <t>0B14</t>
        </is>
      </c>
      <c r="B417" t="inlineStr">
        <is>
          <t>ORIYA LETTER AU</t>
        </is>
      </c>
      <c r="C417" t="inlineStr"/>
      <c r="D417" t="inlineStr"/>
    </row>
    <row r="418">
      <c r="A418" t="inlineStr">
        <is>
          <t>0B15</t>
        </is>
      </c>
      <c r="B418" t="inlineStr">
        <is>
          <t>ORIYA LETTER KA</t>
        </is>
      </c>
      <c r="C418" t="inlineStr"/>
      <c r="D418" t="inlineStr"/>
    </row>
    <row r="419">
      <c r="A419" t="inlineStr">
        <is>
          <t>0B16</t>
        </is>
      </c>
      <c r="B419" t="inlineStr">
        <is>
          <t>ORIYA LETTER KHA</t>
        </is>
      </c>
      <c r="C419" t="inlineStr"/>
      <c r="D419" t="inlineStr"/>
    </row>
    <row r="420">
      <c r="A420" t="inlineStr">
        <is>
          <t>0B17</t>
        </is>
      </c>
      <c r="B420" t="inlineStr">
        <is>
          <t>ORIYA LETTER GA</t>
        </is>
      </c>
      <c r="C420" t="inlineStr"/>
      <c r="D420" t="inlineStr"/>
    </row>
    <row r="421">
      <c r="A421" t="inlineStr">
        <is>
          <t>0B18</t>
        </is>
      </c>
      <c r="B421" t="inlineStr">
        <is>
          <t>ORIYA LETTER GHA</t>
        </is>
      </c>
      <c r="C421" t="inlineStr"/>
      <c r="D421" t="inlineStr"/>
    </row>
    <row r="422">
      <c r="A422" t="inlineStr">
        <is>
          <t>0B19</t>
        </is>
      </c>
      <c r="B422" t="inlineStr">
        <is>
          <t>ORIYA LETTER NGA</t>
        </is>
      </c>
      <c r="C422" t="inlineStr"/>
      <c r="D422" t="inlineStr"/>
    </row>
    <row r="423">
      <c r="A423" t="inlineStr">
        <is>
          <t>0B1A</t>
        </is>
      </c>
      <c r="B423" t="inlineStr">
        <is>
          <t>ORIYA LETTER CA</t>
        </is>
      </c>
      <c r="C423" t="inlineStr"/>
      <c r="D423" t="inlineStr"/>
    </row>
    <row r="424">
      <c r="A424" t="inlineStr">
        <is>
          <t>0B1B</t>
        </is>
      </c>
      <c r="B424" t="inlineStr">
        <is>
          <t>ORIYA LETTER CHA</t>
        </is>
      </c>
      <c r="C424" t="inlineStr"/>
      <c r="D424" t="inlineStr"/>
    </row>
    <row r="425">
      <c r="A425" t="inlineStr">
        <is>
          <t>0B1C</t>
        </is>
      </c>
      <c r="B425" t="inlineStr">
        <is>
          <t>ORIYA LETTER JA</t>
        </is>
      </c>
      <c r="C425" t="inlineStr"/>
      <c r="D425" t="inlineStr"/>
    </row>
    <row r="426">
      <c r="A426" t="inlineStr">
        <is>
          <t>0B1D</t>
        </is>
      </c>
      <c r="B426" t="inlineStr">
        <is>
          <t>ORIYA LETTER JHA</t>
        </is>
      </c>
      <c r="C426" t="inlineStr"/>
      <c r="D426" t="inlineStr"/>
    </row>
    <row r="427">
      <c r="A427" t="inlineStr">
        <is>
          <t>0B1E</t>
        </is>
      </c>
      <c r="B427" t="inlineStr">
        <is>
          <t>ORIYA LETTER NYA</t>
        </is>
      </c>
      <c r="C427" t="inlineStr"/>
      <c r="D427" t="inlineStr"/>
    </row>
    <row r="428">
      <c r="A428" t="inlineStr">
        <is>
          <t>0B1F</t>
        </is>
      </c>
      <c r="B428" t="inlineStr">
        <is>
          <t>ORIYA LETTER TTA</t>
        </is>
      </c>
      <c r="C428" t="inlineStr"/>
      <c r="D428" t="inlineStr"/>
    </row>
    <row r="429">
      <c r="A429" t="inlineStr">
        <is>
          <t>0B20</t>
        </is>
      </c>
      <c r="B429" t="inlineStr">
        <is>
          <t>ORIYA LETTER TTHA</t>
        </is>
      </c>
      <c r="C429" t="inlineStr"/>
      <c r="D429" t="inlineStr"/>
    </row>
    <row r="430">
      <c r="A430" t="inlineStr">
        <is>
          <t>0B21</t>
        </is>
      </c>
      <c r="B430" t="inlineStr">
        <is>
          <t>ORIYA LETTER DDA</t>
        </is>
      </c>
      <c r="C430" t="inlineStr"/>
      <c r="D430" t="inlineStr"/>
    </row>
    <row r="431">
      <c r="A431" t="inlineStr">
        <is>
          <t>0B22</t>
        </is>
      </c>
      <c r="B431" t="inlineStr">
        <is>
          <t>ORIYA LETTER DDHA</t>
        </is>
      </c>
      <c r="C431" t="inlineStr"/>
      <c r="D431" t="inlineStr"/>
    </row>
    <row r="432">
      <c r="A432" t="inlineStr">
        <is>
          <t>0B23</t>
        </is>
      </c>
      <c r="B432" t="inlineStr">
        <is>
          <t>ORIYA LETTER NNA</t>
        </is>
      </c>
      <c r="C432" t="inlineStr"/>
      <c r="D432" t="inlineStr"/>
    </row>
    <row r="433">
      <c r="A433" t="inlineStr">
        <is>
          <t>0B24</t>
        </is>
      </c>
      <c r="B433" t="inlineStr">
        <is>
          <t>ORIYA LETTER TA</t>
        </is>
      </c>
      <c r="C433" t="inlineStr"/>
      <c r="D433" t="inlineStr"/>
    </row>
    <row r="434">
      <c r="A434" t="inlineStr">
        <is>
          <t>0B25</t>
        </is>
      </c>
      <c r="B434" t="inlineStr">
        <is>
          <t>ORIYA LETTER THA</t>
        </is>
      </c>
      <c r="C434" t="inlineStr"/>
      <c r="D434" t="inlineStr"/>
    </row>
    <row r="435">
      <c r="A435" t="inlineStr">
        <is>
          <t>0B26</t>
        </is>
      </c>
      <c r="B435" t="inlineStr">
        <is>
          <t>ORIYA LETTER DA</t>
        </is>
      </c>
      <c r="C435" t="inlineStr"/>
      <c r="D435" t="inlineStr"/>
    </row>
    <row r="436">
      <c r="A436" t="inlineStr">
        <is>
          <t>0B27</t>
        </is>
      </c>
      <c r="B436" t="inlineStr">
        <is>
          <t>ORIYA LETTER DHA</t>
        </is>
      </c>
      <c r="C436" t="inlineStr"/>
      <c r="D436" t="inlineStr"/>
    </row>
    <row r="437">
      <c r="A437" t="inlineStr">
        <is>
          <t>0B28</t>
        </is>
      </c>
      <c r="B437" t="inlineStr">
        <is>
          <t>ORIYA LETTER NA</t>
        </is>
      </c>
      <c r="C437" t="inlineStr"/>
      <c r="D437" t="inlineStr"/>
    </row>
    <row r="438">
      <c r="A438" t="inlineStr">
        <is>
          <t>0B2A</t>
        </is>
      </c>
      <c r="B438" t="inlineStr">
        <is>
          <t>ORIYA LETTER PA</t>
        </is>
      </c>
      <c r="C438" t="inlineStr"/>
      <c r="D438" t="inlineStr"/>
    </row>
    <row r="439">
      <c r="A439" t="inlineStr">
        <is>
          <t>0B2B</t>
        </is>
      </c>
      <c r="B439" t="inlineStr">
        <is>
          <t>ORIYA LETTER PHA</t>
        </is>
      </c>
      <c r="C439" t="inlineStr"/>
      <c r="D439" t="inlineStr"/>
    </row>
    <row r="440">
      <c r="A440" t="inlineStr">
        <is>
          <t>0B2C</t>
        </is>
      </c>
      <c r="B440" t="inlineStr">
        <is>
          <t xml:space="preserve">ORIYA LETTER BA </t>
        </is>
      </c>
      <c r="C440" t="inlineStr"/>
      <c r="D440" t="inlineStr">
        <is>
          <t>x (oriya letter va - 0B35)</t>
        </is>
      </c>
    </row>
    <row r="441">
      <c r="A441" t="inlineStr">
        <is>
          <t>0B2D</t>
        </is>
      </c>
      <c r="B441" t="inlineStr">
        <is>
          <t>ORIYA LETTER BHA</t>
        </is>
      </c>
      <c r="C441" t="inlineStr"/>
      <c r="D441" t="inlineStr"/>
    </row>
    <row r="442">
      <c r="A442" t="inlineStr">
        <is>
          <t>0B2E</t>
        </is>
      </c>
      <c r="B442" t="inlineStr">
        <is>
          <t>ORIYA LETTER MA</t>
        </is>
      </c>
      <c r="C442" t="inlineStr"/>
      <c r="D442" t="inlineStr"/>
    </row>
    <row r="443">
      <c r="A443" t="inlineStr">
        <is>
          <t>0B2F</t>
        </is>
      </c>
      <c r="B443" t="inlineStr">
        <is>
          <t xml:space="preserve">ORIYA LETTER YA </t>
        </is>
      </c>
      <c r="C443">
        <f> ja</f>
        <v/>
      </c>
      <c r="D443" t="inlineStr"/>
    </row>
    <row r="444">
      <c r="A444" t="inlineStr">
        <is>
          <t>0B30</t>
        </is>
      </c>
      <c r="B444" t="inlineStr">
        <is>
          <t>ORIYA LETTER RA</t>
        </is>
      </c>
      <c r="C444" t="inlineStr"/>
      <c r="D444" t="inlineStr"/>
    </row>
    <row r="445">
      <c r="A445" t="inlineStr">
        <is>
          <t>0B32</t>
        </is>
      </c>
      <c r="B445" t="inlineStr">
        <is>
          <t>ORIYA LETTER LA</t>
        </is>
      </c>
      <c r="C445" t="inlineStr"/>
      <c r="D445" t="inlineStr"/>
    </row>
    <row r="446">
      <c r="A446" t="inlineStr">
        <is>
          <t>0B33</t>
        </is>
      </c>
      <c r="B446" t="inlineStr">
        <is>
          <t>ORIYA LETTER LLA</t>
        </is>
      </c>
      <c r="C446" t="inlineStr"/>
      <c r="D446" t="inlineStr"/>
    </row>
    <row r="447">
      <c r="A447" t="inlineStr">
        <is>
          <t>0B35</t>
        </is>
      </c>
      <c r="B447" t="inlineStr">
        <is>
          <t xml:space="preserve">ORIYA LETTER VA </t>
        </is>
      </c>
      <c r="C447" t="inlineStr"/>
      <c r="D447" t="inlineStr">
        <is>
          <t>x (oriya letter ba - 0B2C)</t>
        </is>
      </c>
    </row>
    <row r="448">
      <c r="A448" t="inlineStr">
        <is>
          <t>0B36</t>
        </is>
      </c>
      <c r="B448" t="inlineStr">
        <is>
          <t>ORIYA LETTER SHA</t>
        </is>
      </c>
      <c r="C448" t="inlineStr"/>
      <c r="D448" t="inlineStr"/>
    </row>
    <row r="449">
      <c r="A449" t="inlineStr">
        <is>
          <t>0B37</t>
        </is>
      </c>
      <c r="B449" t="inlineStr">
        <is>
          <t>ORIYA LETTER SSA</t>
        </is>
      </c>
      <c r="C449" t="inlineStr"/>
      <c r="D449" t="inlineStr"/>
    </row>
    <row r="450">
      <c r="A450" t="inlineStr">
        <is>
          <t>0B38</t>
        </is>
      </c>
      <c r="B450" t="inlineStr">
        <is>
          <t>ORIYA LETTER SA</t>
        </is>
      </c>
      <c r="C450" t="inlineStr"/>
      <c r="D450" t="inlineStr"/>
    </row>
    <row r="451">
      <c r="A451" t="inlineStr">
        <is>
          <t>0B39</t>
        </is>
      </c>
      <c r="B451" t="inlineStr">
        <is>
          <t>ORIYA LETTER HA</t>
        </is>
      </c>
      <c r="C451" t="inlineStr"/>
      <c r="D451" t="inlineStr"/>
    </row>
    <row r="452">
      <c r="A452" t="inlineStr">
        <is>
          <t>0B3C</t>
        </is>
      </c>
      <c r="B452" t="inlineStr">
        <is>
          <t xml:space="preserve">ORIYA SIGN NUKTA </t>
        </is>
      </c>
      <c r="C452" t="inlineStr"/>
      <c r="D452" t="inlineStr"/>
    </row>
    <row r="453">
      <c r="A453" t="inlineStr">
        <is>
          <t>0B3D</t>
        </is>
      </c>
      <c r="B453" t="inlineStr">
        <is>
          <t>ORIYA SIGN AVAGRAHA</t>
        </is>
      </c>
      <c r="C453" t="inlineStr"/>
      <c r="D453" t="inlineStr"/>
    </row>
    <row r="454">
      <c r="A454" t="inlineStr">
        <is>
          <t>0B3E</t>
        </is>
      </c>
      <c r="B454" t="inlineStr">
        <is>
          <t>ORIYA VOWEL SIGN AA</t>
        </is>
      </c>
      <c r="C454" t="inlineStr"/>
      <c r="D454" t="inlineStr"/>
    </row>
    <row r="455">
      <c r="A455" t="inlineStr">
        <is>
          <t>0B3F</t>
        </is>
      </c>
      <c r="B455" t="inlineStr">
        <is>
          <t>ORIYA VOWEL SIGN I</t>
        </is>
      </c>
      <c r="C455" t="inlineStr"/>
      <c r="D455" t="inlineStr"/>
    </row>
    <row r="456">
      <c r="A456" t="inlineStr">
        <is>
          <t>0B40</t>
        </is>
      </c>
      <c r="B456" t="inlineStr">
        <is>
          <t>ORIYA VOWEL SIGN II</t>
        </is>
      </c>
      <c r="C456" t="inlineStr"/>
      <c r="D456" t="inlineStr"/>
    </row>
    <row r="457">
      <c r="A457" t="inlineStr">
        <is>
          <t>0B41</t>
        </is>
      </c>
      <c r="B457" t="inlineStr">
        <is>
          <t>ORIYA VOWEL SIGN U</t>
        </is>
      </c>
      <c r="C457" t="inlineStr"/>
      <c r="D457" t="inlineStr"/>
    </row>
    <row r="458">
      <c r="A458" t="inlineStr">
        <is>
          <t>0B42</t>
        </is>
      </c>
      <c r="B458" t="inlineStr">
        <is>
          <t>ORIYA VOWEL SIGN UU</t>
        </is>
      </c>
      <c r="C458" t="inlineStr"/>
      <c r="D458" t="inlineStr"/>
    </row>
    <row r="459">
      <c r="A459" t="inlineStr">
        <is>
          <t>0B43</t>
        </is>
      </c>
      <c r="B459" t="inlineStr">
        <is>
          <t>ORIYA VOWEL SIGN VOCALIC R</t>
        </is>
      </c>
      <c r="C459" t="inlineStr"/>
      <c r="D459" t="inlineStr"/>
    </row>
    <row r="460">
      <c r="A460" t="inlineStr">
        <is>
          <t>0B44</t>
        </is>
      </c>
      <c r="B460" t="inlineStr">
        <is>
          <t>ORIYA VOWEL SIGN VOCALIC RR</t>
        </is>
      </c>
      <c r="C460" t="inlineStr"/>
      <c r="D460" t="inlineStr"/>
    </row>
    <row r="461">
      <c r="A461" t="inlineStr">
        <is>
          <t>0B47</t>
        </is>
      </c>
      <c r="B461" t="inlineStr">
        <is>
          <t xml:space="preserve">ORIYA VOWEL SIGN E </t>
        </is>
      </c>
      <c r="C461" t="inlineStr"/>
      <c r="D461" t="inlineStr"/>
    </row>
    <row r="462">
      <c r="A462" t="inlineStr">
        <is>
          <t>0B48</t>
        </is>
      </c>
      <c r="B462" t="inlineStr">
        <is>
          <t xml:space="preserve">ORIYA VOWEL SIGN AI </t>
        </is>
      </c>
      <c r="C462" t="inlineStr"/>
      <c r="D462" t="inlineStr"/>
    </row>
    <row r="463">
      <c r="A463" t="inlineStr">
        <is>
          <t>0B4B</t>
        </is>
      </c>
      <c r="B463" t="inlineStr">
        <is>
          <t xml:space="preserve">ORIYA VOWEL SIGN O </t>
        </is>
      </c>
      <c r="C463" t="inlineStr"/>
      <c r="D463" t="inlineStr"/>
    </row>
    <row r="464">
      <c r="A464" t="inlineStr">
        <is>
          <t>0B4C</t>
        </is>
      </c>
      <c r="B464" t="inlineStr">
        <is>
          <t xml:space="preserve">ORIYA VOWEL SIGN AU </t>
        </is>
      </c>
      <c r="C464" t="inlineStr"/>
      <c r="D464" t="inlineStr"/>
    </row>
    <row r="465">
      <c r="A465" t="inlineStr">
        <is>
          <t>0B4D</t>
        </is>
      </c>
      <c r="B465" t="inlineStr">
        <is>
          <t>ORIYA SIGN VIRAMA</t>
        </is>
      </c>
      <c r="C465" t="inlineStr"/>
      <c r="D465" t="inlineStr"/>
    </row>
    <row r="466">
      <c r="A466" t="inlineStr">
        <is>
          <t>0B53</t>
        </is>
      </c>
      <c r="B466" t="inlineStr">
        <is>
          <t xml:space="preserve">ORIYA SIGN DOT ABOVE </t>
        </is>
      </c>
      <c r="C466" t="inlineStr"/>
      <c r="D466" t="inlineStr"/>
    </row>
    <row r="467">
      <c r="A467" t="inlineStr">
        <is>
          <t>0B54</t>
        </is>
      </c>
      <c r="B467" t="inlineStr">
        <is>
          <t xml:space="preserve">ORIYA SIGN DOUBLE DOT ABOVE </t>
        </is>
      </c>
      <c r="C467" t="inlineStr"/>
      <c r="D467" t="inlineStr"/>
    </row>
    <row r="468">
      <c r="A468" t="inlineStr">
        <is>
          <t>0B55</t>
        </is>
      </c>
      <c r="B468" t="inlineStr">
        <is>
          <t xml:space="preserve">ORIYA SIGN OVERLINE </t>
        </is>
      </c>
      <c r="C468" t="inlineStr"/>
      <c r="D468" t="inlineStr"/>
    </row>
    <row r="469">
      <c r="A469" t="inlineStr">
        <is>
          <t>0B56</t>
        </is>
      </c>
      <c r="B469" t="inlineStr">
        <is>
          <t>ORIYA AI LENGTH MARK</t>
        </is>
      </c>
      <c r="C469" t="inlineStr"/>
      <c r="D469" t="inlineStr"/>
    </row>
    <row r="470">
      <c r="A470" t="inlineStr">
        <is>
          <t>0B57</t>
        </is>
      </c>
      <c r="B470" t="inlineStr">
        <is>
          <t>ORIYA AU LENGTH MARK</t>
        </is>
      </c>
      <c r="C470" t="inlineStr"/>
      <c r="D470" t="inlineStr"/>
    </row>
    <row r="471">
      <c r="A471" t="inlineStr">
        <is>
          <t>0B5C</t>
        </is>
      </c>
      <c r="B471" t="inlineStr">
        <is>
          <t xml:space="preserve">ORIYA LETTER RRA </t>
        </is>
      </c>
      <c r="C471">
        <f> dda</f>
        <v/>
      </c>
      <c r="D471" t="inlineStr"/>
    </row>
    <row r="472">
      <c r="A472" t="inlineStr">
        <is>
          <t>0B5D</t>
        </is>
      </c>
      <c r="B472" t="inlineStr">
        <is>
          <t xml:space="preserve">ORIYA LETTER RHA </t>
        </is>
      </c>
      <c r="C472">
        <f> ddha</f>
        <v/>
      </c>
      <c r="D472" t="inlineStr"/>
    </row>
    <row r="473">
      <c r="A473" t="inlineStr">
        <is>
          <t>0B5F</t>
        </is>
      </c>
      <c r="B473" t="inlineStr">
        <is>
          <t xml:space="preserve">ORIYA LETTER YYA </t>
        </is>
      </c>
      <c r="C473">
        <f> ya</f>
        <v/>
      </c>
      <c r="D473" t="inlineStr"/>
    </row>
    <row r="474">
      <c r="A474" t="inlineStr">
        <is>
          <t>0B60</t>
        </is>
      </c>
      <c r="B474" t="inlineStr">
        <is>
          <t>ORIYA LETTER VOCALIC RR</t>
        </is>
      </c>
      <c r="C474" t="inlineStr"/>
      <c r="D474" t="inlineStr"/>
    </row>
    <row r="475">
      <c r="A475" t="inlineStr">
        <is>
          <t>0B61</t>
        </is>
      </c>
      <c r="B475" t="inlineStr">
        <is>
          <t>ORIYA LETTER VOCALIC LL</t>
        </is>
      </c>
      <c r="C475" t="inlineStr"/>
      <c r="D475" t="inlineStr"/>
    </row>
    <row r="476">
      <c r="A476" t="inlineStr">
        <is>
          <t>0B62</t>
        </is>
      </c>
      <c r="B476" t="inlineStr">
        <is>
          <t>ORIYA VOWEL SIGN VOCALIC L</t>
        </is>
      </c>
      <c r="C476" t="inlineStr"/>
      <c r="D476" t="inlineStr"/>
    </row>
    <row r="477">
      <c r="A477" t="inlineStr">
        <is>
          <t>0B63</t>
        </is>
      </c>
      <c r="B477" t="inlineStr">
        <is>
          <t>ORIYA VOWEL SIGN VOCALIC LL</t>
        </is>
      </c>
      <c r="C477" t="inlineStr"/>
      <c r="D477" t="inlineStr"/>
    </row>
    <row r="478">
      <c r="A478" t="inlineStr">
        <is>
          <t>0B64</t>
        </is>
      </c>
      <c r="B478" t="inlineStr">
        <is>
          <t xml:space="preserve">&lt;reserved&gt; </t>
        </is>
      </c>
      <c r="C478" t="inlineStr"/>
      <c r="D478" t="inlineStr">
        <is>
          <t>x (devanagari danda - 0964)</t>
        </is>
      </c>
    </row>
    <row r="479">
      <c r="A479" t="inlineStr">
        <is>
          <t>0B65</t>
        </is>
      </c>
      <c r="B479" t="inlineStr">
        <is>
          <t xml:space="preserve">&lt;reserved&gt; </t>
        </is>
      </c>
      <c r="C479" t="inlineStr"/>
      <c r="D479" t="inlineStr">
        <is>
          <t>x (devanagari double danda - 0965)</t>
        </is>
      </c>
    </row>
    <row r="480">
      <c r="A480" t="inlineStr">
        <is>
          <t>0B66</t>
        </is>
      </c>
      <c r="B480" t="inlineStr">
        <is>
          <t>ORIYA DIGIT ZERO</t>
        </is>
      </c>
      <c r="C480" t="inlineStr"/>
      <c r="D480" t="inlineStr"/>
    </row>
    <row r="481">
      <c r="A481" t="inlineStr">
        <is>
          <t>0B67</t>
        </is>
      </c>
      <c r="B481" t="inlineStr">
        <is>
          <t>ORIYA DIGIT ONE</t>
        </is>
      </c>
      <c r="C481" t="inlineStr"/>
      <c r="D481" t="inlineStr"/>
    </row>
    <row r="482">
      <c r="A482" t="inlineStr">
        <is>
          <t>0B68</t>
        </is>
      </c>
      <c r="B482" t="inlineStr">
        <is>
          <t>ORIYA DIGIT TWO</t>
        </is>
      </c>
      <c r="C482" t="inlineStr"/>
      <c r="D482" t="inlineStr"/>
    </row>
    <row r="483">
      <c r="A483" t="inlineStr">
        <is>
          <t>0B69</t>
        </is>
      </c>
      <c r="B483" t="inlineStr">
        <is>
          <t>ORIYA DIGIT THREE</t>
        </is>
      </c>
      <c r="C483" t="inlineStr"/>
      <c r="D483" t="inlineStr"/>
    </row>
    <row r="484">
      <c r="A484" t="inlineStr">
        <is>
          <t>0B6A</t>
        </is>
      </c>
      <c r="B484" t="inlineStr">
        <is>
          <t>ORIYA DIGIT FOUR</t>
        </is>
      </c>
      <c r="C484" t="inlineStr"/>
      <c r="D484" t="inlineStr"/>
    </row>
    <row r="485">
      <c r="A485" t="inlineStr">
        <is>
          <t>0B6B</t>
        </is>
      </c>
      <c r="B485" t="inlineStr">
        <is>
          <t>ORIYA DIGIT FIVE</t>
        </is>
      </c>
      <c r="C485" t="inlineStr"/>
      <c r="D485" t="inlineStr"/>
    </row>
    <row r="486">
      <c r="A486" t="inlineStr">
        <is>
          <t>0B6C</t>
        </is>
      </c>
      <c r="B486" t="inlineStr">
        <is>
          <t>ORIYA DIGIT SIX</t>
        </is>
      </c>
      <c r="C486" t="inlineStr"/>
      <c r="D486" t="inlineStr"/>
    </row>
    <row r="487">
      <c r="A487" t="inlineStr">
        <is>
          <t>0B6D</t>
        </is>
      </c>
      <c r="B487" t="inlineStr">
        <is>
          <t>ORIYA DIGIT SEVEN</t>
        </is>
      </c>
      <c r="C487" t="inlineStr"/>
      <c r="D487" t="inlineStr"/>
    </row>
    <row r="488">
      <c r="A488" t="inlineStr">
        <is>
          <t>0B6E</t>
        </is>
      </c>
      <c r="B488" t="inlineStr">
        <is>
          <t>ORIYA DIGIT EIGHT</t>
        </is>
      </c>
      <c r="C488" t="inlineStr"/>
      <c r="D488" t="inlineStr"/>
    </row>
    <row r="489">
      <c r="A489" t="inlineStr">
        <is>
          <t>0B6F</t>
        </is>
      </c>
      <c r="B489" t="inlineStr">
        <is>
          <t>ORIYA DIGIT NINE</t>
        </is>
      </c>
      <c r="C489" t="inlineStr"/>
      <c r="D489" t="inlineStr"/>
    </row>
    <row r="490">
      <c r="A490" t="inlineStr">
        <is>
          <t>0B70</t>
        </is>
      </c>
      <c r="B490" t="inlineStr">
        <is>
          <t>ORIYA ISSHAR</t>
        </is>
      </c>
      <c r="C490" t="inlineStr"/>
      <c r="D490" t="inlineStr"/>
    </row>
    <row r="491">
      <c r="A491" t="inlineStr">
        <is>
          <t>0B71</t>
        </is>
      </c>
      <c r="B491" t="inlineStr">
        <is>
          <t xml:space="preserve">ORIYA LETTER WA </t>
        </is>
      </c>
      <c r="C491" t="inlineStr"/>
      <c r="D491" t="inlineStr">
        <is>
          <t>x (oriya letter va - 0B35)</t>
        </is>
      </c>
    </row>
    <row r="492">
      <c r="A492" t="inlineStr">
        <is>
          <t>0B72</t>
        </is>
      </c>
      <c r="B492" t="inlineStr">
        <is>
          <t>ORIYA FRACTION ONE QUARTER</t>
        </is>
      </c>
      <c r="C492" t="inlineStr"/>
      <c r="D492" t="inlineStr"/>
    </row>
    <row r="493">
      <c r="A493" t="inlineStr">
        <is>
          <t>0B73</t>
        </is>
      </c>
      <c r="B493" t="inlineStr">
        <is>
          <t>ORIYA FRACTION ONE HALF</t>
        </is>
      </c>
      <c r="C493" t="inlineStr"/>
      <c r="D493" t="inlineStr"/>
    </row>
    <row r="494">
      <c r="A494" t="inlineStr">
        <is>
          <t>0B74</t>
        </is>
      </c>
      <c r="B494" t="inlineStr">
        <is>
          <t>ORIYA FRACTION THREE QUARTERS</t>
        </is>
      </c>
      <c r="C494" t="inlineStr"/>
      <c r="D494" t="inlineStr"/>
    </row>
    <row r="495">
      <c r="A495" t="inlineStr">
        <is>
          <t>0B75</t>
        </is>
      </c>
      <c r="B495" t="inlineStr">
        <is>
          <t>ORIYA FRACTION ONE SIXTEENTH</t>
        </is>
      </c>
      <c r="C495" t="inlineStr"/>
      <c r="D495" t="inlineStr"/>
    </row>
    <row r="496">
      <c r="A496" t="inlineStr">
        <is>
          <t>0B76</t>
        </is>
      </c>
      <c r="B496" t="inlineStr">
        <is>
          <t>ORIYA FRACTION ONE EIGHTH</t>
        </is>
      </c>
      <c r="C496" t="inlineStr"/>
      <c r="D496" t="inlineStr"/>
    </row>
    <row r="497">
      <c r="A497" t="inlineStr">
        <is>
          <t>0B77</t>
        </is>
      </c>
      <c r="B497" t="inlineStr">
        <is>
          <t>ORIYA FRACTION THREE SIXTEENTHS</t>
        </is>
      </c>
      <c r="C497" t="inlineStr"/>
      <c r="D497" t="inlineStr"/>
    </row>
    <row r="498">
      <c r="A498" t="inlineStr">
        <is>
          <t>0B82</t>
        </is>
      </c>
      <c r="B498" t="inlineStr">
        <is>
          <t xml:space="preserve">TAMIL SIGN ANUSVARA </t>
        </is>
      </c>
      <c r="C498" t="inlineStr"/>
      <c r="D498" t="inlineStr"/>
    </row>
    <row r="499">
      <c r="A499" t="inlineStr">
        <is>
          <t>0B83</t>
        </is>
      </c>
      <c r="B499" t="inlineStr">
        <is>
          <t xml:space="preserve">TAMIL SIGN VISARGA </t>
        </is>
      </c>
      <c r="C499">
        <f> aytham</f>
        <v/>
      </c>
      <c r="D499" t="inlineStr"/>
    </row>
    <row r="500">
      <c r="A500" t="inlineStr">
        <is>
          <t>0B85</t>
        </is>
      </c>
      <c r="B500" t="inlineStr">
        <is>
          <t>TAMIL LETTER A</t>
        </is>
      </c>
      <c r="C500" t="inlineStr"/>
      <c r="D500" t="inlineStr"/>
    </row>
    <row r="501">
      <c r="A501" t="inlineStr">
        <is>
          <t>0B86</t>
        </is>
      </c>
      <c r="B501" t="inlineStr">
        <is>
          <t>TAMIL LETTER AA</t>
        </is>
      </c>
      <c r="C501" t="inlineStr"/>
      <c r="D501" t="inlineStr"/>
    </row>
    <row r="502">
      <c r="A502" t="inlineStr">
        <is>
          <t>0B87</t>
        </is>
      </c>
      <c r="B502" t="inlineStr">
        <is>
          <t>TAMIL LETTER I</t>
        </is>
      </c>
      <c r="C502" t="inlineStr"/>
      <c r="D502" t="inlineStr"/>
    </row>
    <row r="503">
      <c r="A503" t="inlineStr">
        <is>
          <t>0B88</t>
        </is>
      </c>
      <c r="B503" t="inlineStr">
        <is>
          <t>TAMIL LETTER II</t>
        </is>
      </c>
      <c r="C503" t="inlineStr"/>
      <c r="D503" t="inlineStr"/>
    </row>
    <row r="504">
      <c r="A504" t="inlineStr">
        <is>
          <t>0B89</t>
        </is>
      </c>
      <c r="B504" t="inlineStr">
        <is>
          <t>TAMIL LETTER U</t>
        </is>
      </c>
      <c r="C504" t="inlineStr"/>
      <c r="D504" t="inlineStr"/>
    </row>
    <row r="505">
      <c r="A505" t="inlineStr">
        <is>
          <t>0B8A</t>
        </is>
      </c>
      <c r="B505" t="inlineStr">
        <is>
          <t>TAMIL LETTER UU</t>
        </is>
      </c>
      <c r="C505" t="inlineStr"/>
      <c r="D505" t="inlineStr"/>
    </row>
    <row r="506">
      <c r="A506" t="inlineStr">
        <is>
          <t>0B8E</t>
        </is>
      </c>
      <c r="B506" t="inlineStr">
        <is>
          <t>TAMIL LETTER E</t>
        </is>
      </c>
      <c r="C506" t="inlineStr"/>
      <c r="D506" t="inlineStr"/>
    </row>
    <row r="507">
      <c r="A507" t="inlineStr">
        <is>
          <t>0B8F</t>
        </is>
      </c>
      <c r="B507" t="inlineStr">
        <is>
          <t>TAMIL LETTER EE</t>
        </is>
      </c>
      <c r="C507" t="inlineStr"/>
      <c r="D507" t="inlineStr"/>
    </row>
    <row r="508">
      <c r="A508" t="inlineStr">
        <is>
          <t>0B90</t>
        </is>
      </c>
      <c r="B508" t="inlineStr">
        <is>
          <t>TAMIL LETTER AI</t>
        </is>
      </c>
      <c r="C508" t="inlineStr"/>
      <c r="D508" t="inlineStr"/>
    </row>
    <row r="509">
      <c r="A509" t="inlineStr">
        <is>
          <t>0B92</t>
        </is>
      </c>
      <c r="B509" t="inlineStr">
        <is>
          <t>TAMIL LETTER O</t>
        </is>
      </c>
      <c r="C509" t="inlineStr"/>
      <c r="D509" t="inlineStr"/>
    </row>
    <row r="510">
      <c r="A510" t="inlineStr">
        <is>
          <t>0B93</t>
        </is>
      </c>
      <c r="B510" t="inlineStr">
        <is>
          <t>TAMIL LETTER OO</t>
        </is>
      </c>
      <c r="C510" t="inlineStr"/>
      <c r="D510" t="inlineStr"/>
    </row>
    <row r="511">
      <c r="A511" t="inlineStr">
        <is>
          <t>0B94</t>
        </is>
      </c>
      <c r="B511" t="inlineStr">
        <is>
          <t xml:space="preserve">TAMIL LETTER AU </t>
        </is>
      </c>
      <c r="C511" t="inlineStr"/>
      <c r="D511" t="inlineStr"/>
    </row>
    <row r="512">
      <c r="A512" t="inlineStr">
        <is>
          <t>0B95</t>
        </is>
      </c>
      <c r="B512" t="inlineStr">
        <is>
          <t>TAMIL LETTER KA</t>
        </is>
      </c>
      <c r="C512" t="inlineStr"/>
      <c r="D512" t="inlineStr"/>
    </row>
    <row r="513">
      <c r="A513" t="inlineStr">
        <is>
          <t>0B99</t>
        </is>
      </c>
      <c r="B513" t="inlineStr">
        <is>
          <t xml:space="preserve">TAMIL LETTER NGA </t>
        </is>
      </c>
      <c r="C513" t="inlineStr"/>
      <c r="D513" t="inlineStr">
        <is>
          <t>x (tamil sign kuruni - 11FDA)</t>
        </is>
      </c>
    </row>
    <row r="514">
      <c r="A514" t="inlineStr">
        <is>
          <t>0B9A</t>
        </is>
      </c>
      <c r="B514" t="inlineStr">
        <is>
          <t>TAMIL LETTER CA</t>
        </is>
      </c>
      <c r="C514" t="inlineStr"/>
      <c r="D514" t="inlineStr"/>
    </row>
    <row r="515">
      <c r="A515" t="inlineStr">
        <is>
          <t>0B9C</t>
        </is>
      </c>
      <c r="B515" t="inlineStr">
        <is>
          <t>TAMIL LETTER JA</t>
        </is>
      </c>
      <c r="C515" t="inlineStr"/>
      <c r="D515" t="inlineStr"/>
    </row>
    <row r="516">
      <c r="A516" t="inlineStr">
        <is>
          <t>0B9E</t>
        </is>
      </c>
      <c r="B516" t="inlineStr">
        <is>
          <t>TAMIL LETTER NYA</t>
        </is>
      </c>
      <c r="C516" t="inlineStr"/>
      <c r="D516" t="inlineStr"/>
    </row>
    <row r="517">
      <c r="A517" t="inlineStr">
        <is>
          <t>0B9F</t>
        </is>
      </c>
      <c r="B517" t="inlineStr">
        <is>
          <t>TAMIL LETTER TTA</t>
        </is>
      </c>
      <c r="C517" t="inlineStr"/>
      <c r="D517" t="inlineStr"/>
    </row>
    <row r="518">
      <c r="A518" t="inlineStr">
        <is>
          <t>0BA3</t>
        </is>
      </c>
      <c r="B518" t="inlineStr">
        <is>
          <t>TAMIL LETTER NNA</t>
        </is>
      </c>
      <c r="C518" t="inlineStr"/>
      <c r="D518" t="inlineStr"/>
    </row>
    <row r="519">
      <c r="A519" t="inlineStr">
        <is>
          <t>0BA4</t>
        </is>
      </c>
      <c r="B519" t="inlineStr">
        <is>
          <t xml:space="preserve">TAMIL LETTER TA </t>
        </is>
      </c>
      <c r="C519" t="inlineStr"/>
      <c r="D519" t="inlineStr">
        <is>
          <t>x (tamil sign mukkuruni - 11FDC)</t>
        </is>
      </c>
    </row>
    <row r="520">
      <c r="A520" t="inlineStr">
        <is>
          <t>0BA8</t>
        </is>
      </c>
      <c r="B520" t="inlineStr">
        <is>
          <t>TAMIL LETTER NA</t>
        </is>
      </c>
      <c r="C520" t="inlineStr"/>
      <c r="D520" t="inlineStr"/>
    </row>
    <row r="521">
      <c r="A521" t="inlineStr">
        <is>
          <t>0BA9</t>
        </is>
      </c>
      <c r="B521" t="inlineStr">
        <is>
          <t>TAMIL LETTER NNNA</t>
        </is>
      </c>
      <c r="C521" t="inlineStr"/>
      <c r="D521" t="inlineStr"/>
    </row>
    <row r="522">
      <c r="A522" t="inlineStr">
        <is>
          <t>0BAA</t>
        </is>
      </c>
      <c r="B522" t="inlineStr">
        <is>
          <t xml:space="preserve">TAMIL LETTER PA </t>
        </is>
      </c>
      <c r="C522">
        <f> maa</f>
        <v/>
      </c>
      <c r="D522" t="inlineStr">
        <is>
          <t>x (tamil fraction one twentieth - 11FC8)</t>
        </is>
      </c>
    </row>
    <row r="523">
      <c r="A523" t="inlineStr">
        <is>
          <t>0BAE</t>
        </is>
      </c>
      <c r="B523" t="inlineStr">
        <is>
          <t>TAMIL LETTER MA</t>
        </is>
      </c>
      <c r="C523" t="inlineStr"/>
      <c r="D523" t="inlineStr"/>
    </row>
    <row r="524">
      <c r="A524" t="inlineStr">
        <is>
          <t>0BAF</t>
        </is>
      </c>
      <c r="B524" t="inlineStr">
        <is>
          <t>TAMIL LETTER YA</t>
        </is>
      </c>
      <c r="C524" t="inlineStr"/>
      <c r="D524" t="inlineStr"/>
    </row>
    <row r="525">
      <c r="A525" t="inlineStr">
        <is>
          <t>0BB0</t>
        </is>
      </c>
      <c r="B525" t="inlineStr">
        <is>
          <t>TAMIL LETTER RA</t>
        </is>
      </c>
      <c r="C525" t="inlineStr"/>
      <c r="D525" t="inlineStr"/>
    </row>
    <row r="526">
      <c r="A526" t="inlineStr">
        <is>
          <t>0BB1</t>
        </is>
      </c>
      <c r="B526" t="inlineStr">
        <is>
          <t>TAMIL LETTER RRA</t>
        </is>
      </c>
      <c r="C526" t="inlineStr"/>
      <c r="D526" t="inlineStr"/>
    </row>
    <row r="527">
      <c r="A527" t="inlineStr">
        <is>
          <t>0BB2</t>
        </is>
      </c>
      <c r="B527" t="inlineStr">
        <is>
          <t>TAMIL LETTER LA</t>
        </is>
      </c>
      <c r="C527" t="inlineStr"/>
      <c r="D527" t="inlineStr"/>
    </row>
    <row r="528">
      <c r="A528" t="inlineStr">
        <is>
          <t>0BB3</t>
        </is>
      </c>
      <c r="B528" t="inlineStr">
        <is>
          <t xml:space="preserve">TAMIL LETTER LLA </t>
        </is>
      </c>
      <c r="C528" t="inlineStr"/>
      <c r="D528" t="inlineStr">
        <is>
          <t>x (tamil sign mukkuruni - 11FDC)</t>
        </is>
      </c>
    </row>
    <row r="529">
      <c r="A529" t="inlineStr">
        <is>
          <t>0BB4</t>
        </is>
      </c>
      <c r="B529" t="inlineStr">
        <is>
          <t>TAMIL LETTER LLLA</t>
        </is>
      </c>
      <c r="C529" t="inlineStr"/>
      <c r="D529" t="inlineStr"/>
    </row>
    <row r="530">
      <c r="A530" t="inlineStr">
        <is>
          <t>0BB5</t>
        </is>
      </c>
      <c r="B530" t="inlineStr">
        <is>
          <t xml:space="preserve">TAMIL LETTER VA </t>
        </is>
      </c>
      <c r="C530" t="inlineStr"/>
      <c r="D530" t="inlineStr">
        <is>
          <t>x (tamil fraction one quarter - 11FD0)</t>
        </is>
      </c>
    </row>
    <row r="531">
      <c r="A531" t="inlineStr">
        <is>
          <t>0BB6</t>
        </is>
      </c>
      <c r="B531" t="inlineStr">
        <is>
          <t>TAMIL LETTER SHA</t>
        </is>
      </c>
      <c r="C531" t="inlineStr"/>
      <c r="D531" t="inlineStr"/>
    </row>
    <row r="532">
      <c r="A532" t="inlineStr">
        <is>
          <t>0BB7</t>
        </is>
      </c>
      <c r="B532" t="inlineStr">
        <is>
          <t>TAMIL LETTER SSA</t>
        </is>
      </c>
      <c r="C532" t="inlineStr"/>
      <c r="D532" t="inlineStr"/>
    </row>
    <row r="533">
      <c r="A533" t="inlineStr">
        <is>
          <t>0BB8</t>
        </is>
      </c>
      <c r="B533" t="inlineStr">
        <is>
          <t>TAMIL LETTER SA</t>
        </is>
      </c>
      <c r="C533" t="inlineStr"/>
      <c r="D533" t="inlineStr"/>
    </row>
    <row r="534">
      <c r="A534" t="inlineStr">
        <is>
          <t>0BB9</t>
        </is>
      </c>
      <c r="B534" t="inlineStr">
        <is>
          <t>TAMIL LETTER HA</t>
        </is>
      </c>
      <c r="C534" t="inlineStr"/>
      <c r="D534" t="inlineStr"/>
    </row>
    <row r="535">
      <c r="A535" t="inlineStr">
        <is>
          <t>0BBE</t>
        </is>
      </c>
      <c r="B535" t="inlineStr">
        <is>
          <t>TAMIL VOWEL SIGN AA</t>
        </is>
      </c>
      <c r="C535" t="inlineStr"/>
      <c r="D535" t="inlineStr"/>
    </row>
    <row r="536">
      <c r="A536" t="inlineStr">
        <is>
          <t>0BBF</t>
        </is>
      </c>
      <c r="B536" t="inlineStr">
        <is>
          <t>TAMIL VOWEL SIGN I</t>
        </is>
      </c>
      <c r="C536" t="inlineStr"/>
      <c r="D536" t="inlineStr"/>
    </row>
    <row r="537">
      <c r="A537" t="inlineStr">
        <is>
          <t>0BC0</t>
        </is>
      </c>
      <c r="B537" t="inlineStr">
        <is>
          <t>TAMIL VOWEL SIGN II</t>
        </is>
      </c>
      <c r="C537" t="inlineStr"/>
      <c r="D537" t="inlineStr"/>
    </row>
    <row r="538">
      <c r="A538" t="inlineStr">
        <is>
          <t>0BC1</t>
        </is>
      </c>
      <c r="B538" t="inlineStr">
        <is>
          <t>TAMIL VOWEL SIGN U</t>
        </is>
      </c>
      <c r="C538" t="inlineStr"/>
      <c r="D538" t="inlineStr"/>
    </row>
    <row r="539">
      <c r="A539" t="inlineStr">
        <is>
          <t>0BC2</t>
        </is>
      </c>
      <c r="B539" t="inlineStr">
        <is>
          <t>TAMIL VOWEL SIGN UU</t>
        </is>
      </c>
      <c r="C539" t="inlineStr"/>
      <c r="D539" t="inlineStr"/>
    </row>
    <row r="540">
      <c r="A540" t="inlineStr">
        <is>
          <t>0BC6</t>
        </is>
      </c>
      <c r="B540" t="inlineStr">
        <is>
          <t xml:space="preserve">TAMIL VOWEL SIGN E </t>
        </is>
      </c>
      <c r="C540" t="inlineStr"/>
      <c r="D540" t="inlineStr"/>
    </row>
    <row r="541">
      <c r="A541" t="inlineStr">
        <is>
          <t>0BC7</t>
        </is>
      </c>
      <c r="B541" t="inlineStr">
        <is>
          <t xml:space="preserve">TAMIL VOWEL SIGN EE </t>
        </is>
      </c>
      <c r="C541" t="inlineStr"/>
      <c r="D541" t="inlineStr"/>
    </row>
    <row r="542">
      <c r="A542" t="inlineStr">
        <is>
          <t>0BC8</t>
        </is>
      </c>
      <c r="B542" t="inlineStr">
        <is>
          <t xml:space="preserve">TAMIL VOWEL SIGN AI </t>
        </is>
      </c>
      <c r="C542" t="inlineStr"/>
      <c r="D542" t="inlineStr"/>
    </row>
    <row r="543">
      <c r="A543" t="inlineStr">
        <is>
          <t>0BCA</t>
        </is>
      </c>
      <c r="B543" t="inlineStr">
        <is>
          <t xml:space="preserve">TAMIL VOWEL SIGN O </t>
        </is>
      </c>
      <c r="C543" t="inlineStr"/>
      <c r="D543" t="inlineStr"/>
    </row>
    <row r="544">
      <c r="A544" t="inlineStr">
        <is>
          <t>0BCB</t>
        </is>
      </c>
      <c r="B544" t="inlineStr">
        <is>
          <t xml:space="preserve">TAMIL VOWEL SIGN OO </t>
        </is>
      </c>
      <c r="C544" t="inlineStr"/>
      <c r="D544" t="inlineStr"/>
    </row>
    <row r="545">
      <c r="A545" t="inlineStr">
        <is>
          <t>0BCC</t>
        </is>
      </c>
      <c r="B545" t="inlineStr">
        <is>
          <t xml:space="preserve">TAMIL VOWEL SIGN AU </t>
        </is>
      </c>
      <c r="C545" t="inlineStr"/>
      <c r="D545" t="inlineStr"/>
    </row>
    <row r="546">
      <c r="A546" t="inlineStr">
        <is>
          <t>0BCD</t>
        </is>
      </c>
      <c r="B546" t="inlineStr">
        <is>
          <t xml:space="preserve">TAMIL SIGN VIRAMA </t>
        </is>
      </c>
      <c r="C546">
        <f> pulli</f>
        <v/>
      </c>
      <c r="D546" t="inlineStr"/>
    </row>
    <row r="547">
      <c r="A547" t="inlineStr">
        <is>
          <t>0BD0</t>
        </is>
      </c>
      <c r="B547" t="inlineStr">
        <is>
          <t>TAMIL OM</t>
        </is>
      </c>
      <c r="C547" t="inlineStr"/>
      <c r="D547" t="inlineStr"/>
    </row>
    <row r="548">
      <c r="A548" t="inlineStr">
        <is>
          <t>0BD7</t>
        </is>
      </c>
      <c r="B548" t="inlineStr">
        <is>
          <t>TAMIL AU LENGTH MARK</t>
        </is>
      </c>
      <c r="C548" t="inlineStr"/>
      <c r="D548" t="inlineStr"/>
    </row>
    <row r="549">
      <c r="A549" t="inlineStr">
        <is>
          <t>0BE4</t>
        </is>
      </c>
      <c r="B549" t="inlineStr">
        <is>
          <t xml:space="preserve">&lt;reserved&gt; </t>
        </is>
      </c>
      <c r="C549" t="inlineStr"/>
      <c r="D549" t="inlineStr">
        <is>
          <t>x (devanagari danda - 0964)</t>
        </is>
      </c>
    </row>
    <row r="550">
      <c r="A550" t="inlineStr">
        <is>
          <t>0BE5</t>
        </is>
      </c>
      <c r="B550" t="inlineStr">
        <is>
          <t xml:space="preserve">&lt;reserved&gt; </t>
        </is>
      </c>
      <c r="C550" t="inlineStr"/>
      <c r="D550" t="inlineStr">
        <is>
          <t>x (devanagari double danda - 0965)</t>
        </is>
      </c>
    </row>
    <row r="551">
      <c r="A551" t="inlineStr">
        <is>
          <t>0BE6</t>
        </is>
      </c>
      <c r="B551" t="inlineStr">
        <is>
          <t>TAMIL DIGIT ZERO</t>
        </is>
      </c>
      <c r="C551" t="inlineStr"/>
      <c r="D551" t="inlineStr"/>
    </row>
    <row r="552">
      <c r="A552" t="inlineStr">
        <is>
          <t>0BE7</t>
        </is>
      </c>
      <c r="B552" t="inlineStr">
        <is>
          <t>TAMIL DIGIT ONE</t>
        </is>
      </c>
      <c r="C552" t="inlineStr"/>
      <c r="D552" t="inlineStr"/>
    </row>
    <row r="553">
      <c r="A553" t="inlineStr">
        <is>
          <t>0BE8</t>
        </is>
      </c>
      <c r="B553" t="inlineStr">
        <is>
          <t>TAMIL DIGIT TWO</t>
        </is>
      </c>
      <c r="C553" t="inlineStr"/>
      <c r="D553" t="inlineStr"/>
    </row>
    <row r="554">
      <c r="A554" t="inlineStr">
        <is>
          <t>0BE9</t>
        </is>
      </c>
      <c r="B554" t="inlineStr">
        <is>
          <t>TAMIL DIGIT THREE</t>
        </is>
      </c>
      <c r="C554" t="inlineStr"/>
      <c r="D554" t="inlineStr"/>
    </row>
    <row r="555">
      <c r="A555" t="inlineStr">
        <is>
          <t>0BEA</t>
        </is>
      </c>
      <c r="B555" t="inlineStr">
        <is>
          <t>TAMIL DIGIT FOUR</t>
        </is>
      </c>
      <c r="C555" t="inlineStr"/>
      <c r="D555" t="inlineStr"/>
    </row>
    <row r="556">
      <c r="A556" t="inlineStr">
        <is>
          <t>0BEB</t>
        </is>
      </c>
      <c r="B556" t="inlineStr">
        <is>
          <t>TAMIL DIGIT FIVE</t>
        </is>
      </c>
      <c r="C556" t="inlineStr"/>
      <c r="D556" t="inlineStr"/>
    </row>
    <row r="557">
      <c r="A557" t="inlineStr">
        <is>
          <t>0BEC</t>
        </is>
      </c>
      <c r="B557" t="inlineStr">
        <is>
          <t>TAMIL DIGIT SIX</t>
        </is>
      </c>
      <c r="C557" t="inlineStr"/>
      <c r="D557" t="inlineStr"/>
    </row>
    <row r="558">
      <c r="A558" t="inlineStr">
        <is>
          <t>0BED</t>
        </is>
      </c>
      <c r="B558" t="inlineStr">
        <is>
          <t>TAMIL DIGIT SEVEN</t>
        </is>
      </c>
      <c r="C558" t="inlineStr"/>
      <c r="D558" t="inlineStr"/>
    </row>
    <row r="559">
      <c r="A559" t="inlineStr">
        <is>
          <t>0BEE</t>
        </is>
      </c>
      <c r="B559" t="inlineStr">
        <is>
          <t>TAMIL DIGIT EIGHT</t>
        </is>
      </c>
      <c r="C559" t="inlineStr"/>
      <c r="D559" t="inlineStr"/>
    </row>
    <row r="560">
      <c r="A560" t="inlineStr">
        <is>
          <t>0BEF</t>
        </is>
      </c>
      <c r="B560" t="inlineStr">
        <is>
          <t>TAMIL DIGIT NINE</t>
        </is>
      </c>
      <c r="C560" t="inlineStr"/>
      <c r="D560" t="inlineStr"/>
    </row>
    <row r="561">
      <c r="A561" t="inlineStr">
        <is>
          <t>0BF0</t>
        </is>
      </c>
      <c r="B561" t="inlineStr">
        <is>
          <t>TAMIL NUMBER TEN</t>
        </is>
      </c>
      <c r="C561" t="inlineStr"/>
      <c r="D561" t="inlineStr"/>
    </row>
    <row r="562">
      <c r="A562" t="inlineStr">
        <is>
          <t>0BF1</t>
        </is>
      </c>
      <c r="B562" t="inlineStr">
        <is>
          <t>TAMIL NUMBER ONE HUNDRED</t>
        </is>
      </c>
      <c r="C562" t="inlineStr"/>
      <c r="D562" t="inlineStr"/>
    </row>
    <row r="563">
      <c r="A563" t="inlineStr">
        <is>
          <t>0BF2</t>
        </is>
      </c>
      <c r="B563" t="inlineStr">
        <is>
          <t>TAMIL NUMBER ONE THOUSAND</t>
        </is>
      </c>
      <c r="C563" t="inlineStr"/>
      <c r="D563" t="inlineStr"/>
    </row>
    <row r="564">
      <c r="A564" t="inlineStr">
        <is>
          <t>0BF3</t>
        </is>
      </c>
      <c r="B564" t="inlineStr">
        <is>
          <t xml:space="preserve">TAMIL DAY SIGN </t>
        </is>
      </c>
      <c r="C564">
        <f> pillaiyaar suli</f>
        <v/>
      </c>
      <c r="D564" t="inlineStr">
        <is>
          <t>x (tamil sign muuvuzhakku - 11FD9)</t>
        </is>
      </c>
    </row>
    <row r="565">
      <c r="A565" t="inlineStr">
        <is>
          <t>0BF4</t>
        </is>
      </c>
      <c r="B565" t="inlineStr">
        <is>
          <t xml:space="preserve">TAMIL MONTH SIGN </t>
        </is>
      </c>
      <c r="C565">
        <f> maatham</f>
        <v/>
      </c>
      <c r="D565" t="inlineStr"/>
    </row>
    <row r="566">
      <c r="A566" t="inlineStr">
        <is>
          <t>0BF5</t>
        </is>
      </c>
      <c r="B566" t="inlineStr">
        <is>
          <t xml:space="preserve">TAMIL YEAR SIGN </t>
        </is>
      </c>
      <c r="C566">
        <f> varudam</f>
        <v/>
      </c>
      <c r="D566" t="inlineStr"/>
    </row>
    <row r="567">
      <c r="A567" t="inlineStr">
        <is>
          <t>0BF6</t>
        </is>
      </c>
      <c r="B567" t="inlineStr">
        <is>
          <t xml:space="preserve">TAMIL DEBIT SIGN </t>
        </is>
      </c>
      <c r="C567">
        <f> patru</f>
        <v/>
      </c>
      <c r="D567" t="inlineStr"/>
    </row>
    <row r="568">
      <c r="A568" t="inlineStr">
        <is>
          <t>0BF7</t>
        </is>
      </c>
      <c r="B568" t="inlineStr">
        <is>
          <t xml:space="preserve">TAMIL CREDIT SIGN </t>
        </is>
      </c>
      <c r="C568">
        <f> eduppu</f>
        <v/>
      </c>
      <c r="D568" t="inlineStr">
        <is>
          <t>x (tamil traditional credit sign - 11FE8)</t>
        </is>
      </c>
    </row>
    <row r="569">
      <c r="A569" t="inlineStr">
        <is>
          <t>0BF8</t>
        </is>
      </c>
      <c r="B569" t="inlineStr">
        <is>
          <t xml:space="preserve">TAMIL AS ABOVE SIGN </t>
        </is>
      </c>
      <c r="C569">
        <f> merpadi</f>
        <v/>
      </c>
      <c r="D569" t="inlineStr"/>
    </row>
    <row r="570">
      <c r="A570" t="inlineStr">
        <is>
          <t>0BF9</t>
        </is>
      </c>
      <c r="B570" t="inlineStr">
        <is>
          <t xml:space="preserve">TAMIL RUPEE SIGN </t>
        </is>
      </c>
      <c r="C570">
        <f> rupai</f>
        <v/>
      </c>
      <c r="D570" t="inlineStr">
        <is>
          <t>x (tamil land sign - 11FE6)</t>
        </is>
      </c>
    </row>
    <row r="571">
      <c r="A571" t="inlineStr">
        <is>
          <t>0BFA</t>
        </is>
      </c>
      <c r="B571" t="inlineStr">
        <is>
          <t xml:space="preserve">TAMIL NUMBER SIGN </t>
        </is>
      </c>
      <c r="C571">
        <f> enn, niluvai</f>
        <v/>
      </c>
      <c r="D571" t="inlineStr">
        <is>
          <t>x (tamil traditional number sign - 11FE9)</t>
        </is>
      </c>
    </row>
    <row r="572">
      <c r="A572" t="inlineStr">
        <is>
          <t>0C00</t>
        </is>
      </c>
      <c r="B572" t="inlineStr">
        <is>
          <t>TELUGU SIGN COMBINING CANDRABINDU ABOVE</t>
        </is>
      </c>
      <c r="C572" t="inlineStr"/>
      <c r="D572" t="inlineStr"/>
    </row>
    <row r="573">
      <c r="A573" t="inlineStr">
        <is>
          <t>0C01</t>
        </is>
      </c>
      <c r="B573" t="inlineStr">
        <is>
          <t xml:space="preserve">TELUGU SIGN CANDRABINDU </t>
        </is>
      </c>
      <c r="C573">
        <f> arasunna</f>
        <v/>
      </c>
      <c r="D573" t="inlineStr"/>
    </row>
    <row r="574">
      <c r="A574" t="inlineStr">
        <is>
          <t>0C02</t>
        </is>
      </c>
      <c r="B574" t="inlineStr">
        <is>
          <t xml:space="preserve">TELUGU SIGN ANUSVARA </t>
        </is>
      </c>
      <c r="C574">
        <f> sunna</f>
        <v/>
      </c>
      <c r="D574" t="inlineStr"/>
    </row>
    <row r="575">
      <c r="A575" t="inlineStr">
        <is>
          <t>0C03</t>
        </is>
      </c>
      <c r="B575" t="inlineStr">
        <is>
          <t>TELUGU SIGN VISARGA</t>
        </is>
      </c>
      <c r="C575" t="inlineStr"/>
      <c r="D575" t="inlineStr"/>
    </row>
    <row r="576">
      <c r="A576" t="inlineStr">
        <is>
          <t>0C04</t>
        </is>
      </c>
      <c r="B576" t="inlineStr">
        <is>
          <t xml:space="preserve">TELUGU SIGN COMBINING ANUSVARA ABOVE </t>
        </is>
      </c>
      <c r="C576" t="inlineStr"/>
      <c r="D576" t="inlineStr"/>
    </row>
    <row r="577">
      <c r="A577" t="inlineStr">
        <is>
          <t>0C05</t>
        </is>
      </c>
      <c r="B577" t="inlineStr">
        <is>
          <t>TELUGU LETTER A</t>
        </is>
      </c>
      <c r="C577" t="inlineStr"/>
      <c r="D577" t="inlineStr"/>
    </row>
    <row r="578">
      <c r="A578" t="inlineStr">
        <is>
          <t>0C06</t>
        </is>
      </c>
      <c r="B578" t="inlineStr">
        <is>
          <t>TELUGU LETTER AA</t>
        </is>
      </c>
      <c r="C578" t="inlineStr"/>
      <c r="D578" t="inlineStr"/>
    </row>
    <row r="579">
      <c r="A579" t="inlineStr">
        <is>
          <t>0C07</t>
        </is>
      </c>
      <c r="B579" t="inlineStr">
        <is>
          <t>TELUGU LETTER I</t>
        </is>
      </c>
      <c r="C579" t="inlineStr"/>
      <c r="D579" t="inlineStr"/>
    </row>
    <row r="580">
      <c r="A580" t="inlineStr">
        <is>
          <t>0C08</t>
        </is>
      </c>
      <c r="B580" t="inlineStr">
        <is>
          <t>TELUGU LETTER II</t>
        </is>
      </c>
      <c r="C580" t="inlineStr"/>
      <c r="D580" t="inlineStr"/>
    </row>
    <row r="581">
      <c r="A581" t="inlineStr">
        <is>
          <t>0C09</t>
        </is>
      </c>
      <c r="B581" t="inlineStr">
        <is>
          <t>TELUGU LETTER U</t>
        </is>
      </c>
      <c r="C581" t="inlineStr"/>
      <c r="D581" t="inlineStr"/>
    </row>
    <row r="582">
      <c r="A582" t="inlineStr">
        <is>
          <t>0C0A</t>
        </is>
      </c>
      <c r="B582" t="inlineStr">
        <is>
          <t>TELUGU LETTER UU</t>
        </is>
      </c>
      <c r="C582" t="inlineStr"/>
      <c r="D582" t="inlineStr"/>
    </row>
    <row r="583">
      <c r="A583" t="inlineStr">
        <is>
          <t>0C0B</t>
        </is>
      </c>
      <c r="B583" t="inlineStr">
        <is>
          <t>TELUGU LETTER VOCALIC R</t>
        </is>
      </c>
      <c r="C583" t="inlineStr"/>
      <c r="D583" t="inlineStr"/>
    </row>
    <row r="584">
      <c r="A584" t="inlineStr">
        <is>
          <t>0C0C</t>
        </is>
      </c>
      <c r="B584" t="inlineStr">
        <is>
          <t>TELUGU LETTER VOCALIC L</t>
        </is>
      </c>
      <c r="C584" t="inlineStr"/>
      <c r="D584" t="inlineStr"/>
    </row>
    <row r="585">
      <c r="A585" t="inlineStr">
        <is>
          <t>0C0E</t>
        </is>
      </c>
      <c r="B585" t="inlineStr">
        <is>
          <t>TELUGU LETTER E</t>
        </is>
      </c>
      <c r="C585" t="inlineStr"/>
      <c r="D585" t="inlineStr"/>
    </row>
    <row r="586">
      <c r="A586" t="inlineStr">
        <is>
          <t>0C0F</t>
        </is>
      </c>
      <c r="B586" t="inlineStr">
        <is>
          <t>TELUGU LETTER EE</t>
        </is>
      </c>
      <c r="C586" t="inlineStr"/>
      <c r="D586" t="inlineStr"/>
    </row>
    <row r="587">
      <c r="A587" t="inlineStr">
        <is>
          <t>0C10</t>
        </is>
      </c>
      <c r="B587" t="inlineStr">
        <is>
          <t>TELUGU LETTER AI</t>
        </is>
      </c>
      <c r="C587" t="inlineStr"/>
      <c r="D587" t="inlineStr"/>
    </row>
    <row r="588">
      <c r="A588" t="inlineStr">
        <is>
          <t>0C12</t>
        </is>
      </c>
      <c r="B588" t="inlineStr">
        <is>
          <t>TELUGU LETTER O</t>
        </is>
      </c>
      <c r="C588" t="inlineStr"/>
      <c r="D588" t="inlineStr"/>
    </row>
    <row r="589">
      <c r="A589" t="inlineStr">
        <is>
          <t>0C13</t>
        </is>
      </c>
      <c r="B589" t="inlineStr">
        <is>
          <t>TELUGU LETTER OO</t>
        </is>
      </c>
      <c r="C589" t="inlineStr"/>
      <c r="D589" t="inlineStr"/>
    </row>
    <row r="590">
      <c r="A590" t="inlineStr">
        <is>
          <t>0C14</t>
        </is>
      </c>
      <c r="B590" t="inlineStr">
        <is>
          <t>TELUGU LETTER AU</t>
        </is>
      </c>
      <c r="C590" t="inlineStr"/>
      <c r="D590" t="inlineStr"/>
    </row>
    <row r="591">
      <c r="A591" t="inlineStr">
        <is>
          <t>0C15</t>
        </is>
      </c>
      <c r="B591" t="inlineStr">
        <is>
          <t>TELUGU LETTER KA</t>
        </is>
      </c>
      <c r="C591" t="inlineStr"/>
      <c r="D591" t="inlineStr"/>
    </row>
    <row r="592">
      <c r="A592" t="inlineStr">
        <is>
          <t>0C16</t>
        </is>
      </c>
      <c r="B592" t="inlineStr">
        <is>
          <t>TELUGU LETTER KHA</t>
        </is>
      </c>
      <c r="C592" t="inlineStr"/>
      <c r="D592" t="inlineStr"/>
    </row>
    <row r="593">
      <c r="A593" t="inlineStr">
        <is>
          <t>0C17</t>
        </is>
      </c>
      <c r="B593" t="inlineStr">
        <is>
          <t>TELUGU LETTER GA</t>
        </is>
      </c>
      <c r="C593" t="inlineStr"/>
      <c r="D593" t="inlineStr"/>
    </row>
    <row r="594">
      <c r="A594" t="inlineStr">
        <is>
          <t>0C18</t>
        </is>
      </c>
      <c r="B594" t="inlineStr">
        <is>
          <t>TELUGU LETTER GHA</t>
        </is>
      </c>
      <c r="C594" t="inlineStr"/>
      <c r="D594" t="inlineStr"/>
    </row>
    <row r="595">
      <c r="A595" t="inlineStr">
        <is>
          <t>0C19</t>
        </is>
      </c>
      <c r="B595" t="inlineStr">
        <is>
          <t>TELUGU LETTER NGA</t>
        </is>
      </c>
      <c r="C595" t="inlineStr"/>
      <c r="D595" t="inlineStr"/>
    </row>
    <row r="596">
      <c r="A596" t="inlineStr">
        <is>
          <t>0C1A</t>
        </is>
      </c>
      <c r="B596" t="inlineStr">
        <is>
          <t>TELUGU LETTER CA</t>
        </is>
      </c>
      <c r="C596" t="inlineStr"/>
      <c r="D596" t="inlineStr"/>
    </row>
    <row r="597">
      <c r="A597" t="inlineStr">
        <is>
          <t>0C1B</t>
        </is>
      </c>
      <c r="B597" t="inlineStr">
        <is>
          <t>TELUGU LETTER CHA</t>
        </is>
      </c>
      <c r="C597" t="inlineStr"/>
      <c r="D597" t="inlineStr"/>
    </row>
    <row r="598">
      <c r="A598" t="inlineStr">
        <is>
          <t>0C1C</t>
        </is>
      </c>
      <c r="B598" t="inlineStr">
        <is>
          <t>TELUGU LETTER JA</t>
        </is>
      </c>
      <c r="C598" t="inlineStr"/>
      <c r="D598" t="inlineStr"/>
    </row>
    <row r="599">
      <c r="A599" t="inlineStr">
        <is>
          <t>0C1D</t>
        </is>
      </c>
      <c r="B599" t="inlineStr">
        <is>
          <t>TELUGU LETTER JHA</t>
        </is>
      </c>
      <c r="C599" t="inlineStr"/>
      <c r="D599" t="inlineStr"/>
    </row>
    <row r="600">
      <c r="A600" t="inlineStr">
        <is>
          <t>0C1E</t>
        </is>
      </c>
      <c r="B600" t="inlineStr">
        <is>
          <t>TELUGU LETTER NYA</t>
        </is>
      </c>
      <c r="C600" t="inlineStr"/>
      <c r="D600" t="inlineStr"/>
    </row>
    <row r="601">
      <c r="A601" t="inlineStr">
        <is>
          <t>0C1F</t>
        </is>
      </c>
      <c r="B601" t="inlineStr">
        <is>
          <t>TELUGU LETTER TTA</t>
        </is>
      </c>
      <c r="C601" t="inlineStr"/>
      <c r="D601" t="inlineStr"/>
    </row>
    <row r="602">
      <c r="A602" t="inlineStr">
        <is>
          <t>0C20</t>
        </is>
      </c>
      <c r="B602" t="inlineStr">
        <is>
          <t>TELUGU LETTER TTHA</t>
        </is>
      </c>
      <c r="C602" t="inlineStr"/>
      <c r="D602" t="inlineStr"/>
    </row>
    <row r="603">
      <c r="A603" t="inlineStr">
        <is>
          <t>0C21</t>
        </is>
      </c>
      <c r="B603" t="inlineStr">
        <is>
          <t>TELUGU LETTER DDA</t>
        </is>
      </c>
      <c r="C603" t="inlineStr"/>
      <c r="D603" t="inlineStr"/>
    </row>
    <row r="604">
      <c r="A604" t="inlineStr">
        <is>
          <t>0C22</t>
        </is>
      </c>
      <c r="B604" t="inlineStr">
        <is>
          <t>TELUGU LETTER DDHA</t>
        </is>
      </c>
      <c r="C604" t="inlineStr"/>
      <c r="D604" t="inlineStr"/>
    </row>
    <row r="605">
      <c r="A605" t="inlineStr">
        <is>
          <t>0C23</t>
        </is>
      </c>
      <c r="B605" t="inlineStr">
        <is>
          <t>TELUGU LETTER NNA</t>
        </is>
      </c>
      <c r="C605" t="inlineStr"/>
      <c r="D605" t="inlineStr"/>
    </row>
    <row r="606">
      <c r="A606" t="inlineStr">
        <is>
          <t>0C24</t>
        </is>
      </c>
      <c r="B606" t="inlineStr">
        <is>
          <t>TELUGU LETTER TA</t>
        </is>
      </c>
      <c r="C606" t="inlineStr"/>
      <c r="D606" t="inlineStr"/>
    </row>
    <row r="607">
      <c r="A607" t="inlineStr">
        <is>
          <t>0C25</t>
        </is>
      </c>
      <c r="B607" t="inlineStr">
        <is>
          <t>TELUGU LETTER THA</t>
        </is>
      </c>
      <c r="C607" t="inlineStr"/>
      <c r="D607" t="inlineStr"/>
    </row>
    <row r="608">
      <c r="A608" t="inlineStr">
        <is>
          <t>0C26</t>
        </is>
      </c>
      <c r="B608" t="inlineStr">
        <is>
          <t>TELUGU LETTER DA</t>
        </is>
      </c>
      <c r="C608" t="inlineStr"/>
      <c r="D608" t="inlineStr"/>
    </row>
    <row r="609">
      <c r="A609" t="inlineStr">
        <is>
          <t>0C27</t>
        </is>
      </c>
      <c r="B609" t="inlineStr">
        <is>
          <t>TELUGU LETTER DHA</t>
        </is>
      </c>
      <c r="C609" t="inlineStr"/>
      <c r="D609" t="inlineStr"/>
    </row>
    <row r="610">
      <c r="A610" t="inlineStr">
        <is>
          <t>0C28</t>
        </is>
      </c>
      <c r="B610" t="inlineStr">
        <is>
          <t>TELUGU LETTER NA</t>
        </is>
      </c>
      <c r="C610" t="inlineStr"/>
      <c r="D610" t="inlineStr"/>
    </row>
    <row r="611">
      <c r="A611" t="inlineStr">
        <is>
          <t>0C2A</t>
        </is>
      </c>
      <c r="B611" t="inlineStr">
        <is>
          <t>TELUGU LETTER PA</t>
        </is>
      </c>
      <c r="C611" t="inlineStr"/>
      <c r="D611" t="inlineStr"/>
    </row>
    <row r="612">
      <c r="A612" t="inlineStr">
        <is>
          <t>0C2B</t>
        </is>
      </c>
      <c r="B612" t="inlineStr">
        <is>
          <t>TELUGU LETTER PHA</t>
        </is>
      </c>
      <c r="C612" t="inlineStr"/>
      <c r="D612" t="inlineStr"/>
    </row>
    <row r="613">
      <c r="A613" t="inlineStr">
        <is>
          <t>0C2C</t>
        </is>
      </c>
      <c r="B613" t="inlineStr">
        <is>
          <t>TELUGU LETTER BA</t>
        </is>
      </c>
      <c r="C613" t="inlineStr"/>
      <c r="D613" t="inlineStr"/>
    </row>
    <row r="614">
      <c r="A614" t="inlineStr">
        <is>
          <t>0C2D</t>
        </is>
      </c>
      <c r="B614" t="inlineStr">
        <is>
          <t>TELUGU LETTER BHA</t>
        </is>
      </c>
      <c r="C614" t="inlineStr"/>
      <c r="D614" t="inlineStr"/>
    </row>
    <row r="615">
      <c r="A615" t="inlineStr">
        <is>
          <t>0C2E</t>
        </is>
      </c>
      <c r="B615" t="inlineStr">
        <is>
          <t>TELUGU LETTER MA</t>
        </is>
      </c>
      <c r="C615" t="inlineStr"/>
      <c r="D615" t="inlineStr"/>
    </row>
    <row r="616">
      <c r="A616" t="inlineStr">
        <is>
          <t>0C2F</t>
        </is>
      </c>
      <c r="B616" t="inlineStr">
        <is>
          <t>TELUGU LETTER YA</t>
        </is>
      </c>
      <c r="C616" t="inlineStr"/>
      <c r="D616" t="inlineStr"/>
    </row>
    <row r="617">
      <c r="A617" t="inlineStr">
        <is>
          <t>0C30</t>
        </is>
      </c>
      <c r="B617" t="inlineStr">
        <is>
          <t>TELUGU LETTER RA</t>
        </is>
      </c>
      <c r="C617" t="inlineStr"/>
      <c r="D617" t="inlineStr"/>
    </row>
    <row r="618">
      <c r="A618" t="inlineStr">
        <is>
          <t>0C31</t>
        </is>
      </c>
      <c r="B618" t="inlineStr">
        <is>
          <t>TELUGU LETTER RRA</t>
        </is>
      </c>
      <c r="C618" t="inlineStr"/>
      <c r="D618" t="inlineStr"/>
    </row>
    <row r="619">
      <c r="A619" t="inlineStr">
        <is>
          <t>0C32</t>
        </is>
      </c>
      <c r="B619" t="inlineStr">
        <is>
          <t>TELUGU LETTER LA</t>
        </is>
      </c>
      <c r="C619" t="inlineStr"/>
      <c r="D619" t="inlineStr"/>
    </row>
    <row r="620">
      <c r="A620" t="inlineStr">
        <is>
          <t>0C33</t>
        </is>
      </c>
      <c r="B620" t="inlineStr">
        <is>
          <t>TELUGU LETTER LLA</t>
        </is>
      </c>
      <c r="C620" t="inlineStr"/>
      <c r="D620" t="inlineStr"/>
    </row>
    <row r="621">
      <c r="A621" t="inlineStr">
        <is>
          <t>0C34</t>
        </is>
      </c>
      <c r="B621" t="inlineStr">
        <is>
          <t>TELUGU LETTER LLLA</t>
        </is>
      </c>
      <c r="C621" t="inlineStr"/>
      <c r="D621" t="inlineStr"/>
    </row>
    <row r="622">
      <c r="A622" t="inlineStr">
        <is>
          <t>0C35</t>
        </is>
      </c>
      <c r="B622" t="inlineStr">
        <is>
          <t>TELUGU LETTER VA</t>
        </is>
      </c>
      <c r="C622" t="inlineStr"/>
      <c r="D622" t="inlineStr"/>
    </row>
    <row r="623">
      <c r="A623" t="inlineStr">
        <is>
          <t>0C36</t>
        </is>
      </c>
      <c r="B623" t="inlineStr">
        <is>
          <t>TELUGU LETTER SHA</t>
        </is>
      </c>
      <c r="C623" t="inlineStr"/>
      <c r="D623" t="inlineStr"/>
    </row>
    <row r="624">
      <c r="A624" t="inlineStr">
        <is>
          <t>0C37</t>
        </is>
      </c>
      <c r="B624" t="inlineStr">
        <is>
          <t>TELUGU LETTER SSA</t>
        </is>
      </c>
      <c r="C624" t="inlineStr"/>
      <c r="D624" t="inlineStr"/>
    </row>
    <row r="625">
      <c r="A625" t="inlineStr">
        <is>
          <t>0C38</t>
        </is>
      </c>
      <c r="B625" t="inlineStr">
        <is>
          <t>TELUGU LETTER SA</t>
        </is>
      </c>
      <c r="C625" t="inlineStr"/>
      <c r="D625" t="inlineStr"/>
    </row>
    <row r="626">
      <c r="A626" t="inlineStr">
        <is>
          <t>0C39</t>
        </is>
      </c>
      <c r="B626" t="inlineStr">
        <is>
          <t>TELUGU LETTER HA</t>
        </is>
      </c>
      <c r="C626" t="inlineStr"/>
      <c r="D626" t="inlineStr"/>
    </row>
    <row r="627">
      <c r="A627" t="inlineStr">
        <is>
          <t>0C3C</t>
        </is>
      </c>
      <c r="B627" t="inlineStr">
        <is>
          <t xml:space="preserve">TELUGU SIGN NUKTA </t>
        </is>
      </c>
      <c r="C627" t="inlineStr"/>
      <c r="D627" t="inlineStr"/>
    </row>
    <row r="628">
      <c r="A628" t="inlineStr">
        <is>
          <t>0C3D</t>
        </is>
      </c>
      <c r="B628" t="inlineStr">
        <is>
          <t>TELUGU SIGN AVAGRAHA</t>
        </is>
      </c>
      <c r="C628" t="inlineStr"/>
      <c r="D628" t="inlineStr"/>
    </row>
    <row r="629">
      <c r="A629" t="inlineStr">
        <is>
          <t>0C3E</t>
        </is>
      </c>
      <c r="B629" t="inlineStr">
        <is>
          <t>TELUGU VOWEL SIGN AA</t>
        </is>
      </c>
      <c r="C629" t="inlineStr"/>
      <c r="D629" t="inlineStr"/>
    </row>
    <row r="630">
      <c r="A630" t="inlineStr">
        <is>
          <t>0C3F</t>
        </is>
      </c>
      <c r="B630" t="inlineStr">
        <is>
          <t>TELUGU VOWEL SIGN I</t>
        </is>
      </c>
      <c r="C630" t="inlineStr"/>
      <c r="D630" t="inlineStr"/>
    </row>
    <row r="631">
      <c r="A631" t="inlineStr">
        <is>
          <t>0C40</t>
        </is>
      </c>
      <c r="B631" t="inlineStr">
        <is>
          <t>TELUGU VOWEL SIGN II</t>
        </is>
      </c>
      <c r="C631" t="inlineStr"/>
      <c r="D631" t="inlineStr"/>
    </row>
    <row r="632">
      <c r="A632" t="inlineStr">
        <is>
          <t>0C41</t>
        </is>
      </c>
      <c r="B632" t="inlineStr">
        <is>
          <t>TELUGU VOWEL SIGN U</t>
        </is>
      </c>
      <c r="C632" t="inlineStr"/>
      <c r="D632" t="inlineStr"/>
    </row>
    <row r="633">
      <c r="A633" t="inlineStr">
        <is>
          <t>0C42</t>
        </is>
      </c>
      <c r="B633" t="inlineStr">
        <is>
          <t>TELUGU VOWEL SIGN UU</t>
        </is>
      </c>
      <c r="C633" t="inlineStr"/>
      <c r="D633" t="inlineStr"/>
    </row>
    <row r="634">
      <c r="A634" t="inlineStr">
        <is>
          <t>0C43</t>
        </is>
      </c>
      <c r="B634" t="inlineStr">
        <is>
          <t>TELUGU VOWEL SIGN VOCALIC R</t>
        </is>
      </c>
      <c r="C634" t="inlineStr"/>
      <c r="D634" t="inlineStr"/>
    </row>
    <row r="635">
      <c r="A635" t="inlineStr">
        <is>
          <t>0C44</t>
        </is>
      </c>
      <c r="B635" t="inlineStr">
        <is>
          <t>TELUGU VOWEL SIGN VOCALIC RR</t>
        </is>
      </c>
      <c r="C635" t="inlineStr"/>
      <c r="D635" t="inlineStr"/>
    </row>
    <row r="636">
      <c r="A636" t="inlineStr">
        <is>
          <t>0C46</t>
        </is>
      </c>
      <c r="B636" t="inlineStr">
        <is>
          <t>TELUGU VOWEL SIGN E</t>
        </is>
      </c>
      <c r="C636" t="inlineStr"/>
      <c r="D636" t="inlineStr"/>
    </row>
    <row r="637">
      <c r="A637" t="inlineStr">
        <is>
          <t>0C47</t>
        </is>
      </c>
      <c r="B637" t="inlineStr">
        <is>
          <t>TELUGU VOWEL SIGN EE</t>
        </is>
      </c>
      <c r="C637" t="inlineStr"/>
      <c r="D637" t="inlineStr"/>
    </row>
    <row r="638">
      <c r="A638" t="inlineStr">
        <is>
          <t>0C48</t>
        </is>
      </c>
      <c r="B638" t="inlineStr">
        <is>
          <t xml:space="preserve">TELUGU VOWEL SIGN AI </t>
        </is>
      </c>
      <c r="C638" t="inlineStr"/>
      <c r="D638" t="inlineStr"/>
    </row>
    <row r="639">
      <c r="A639" t="inlineStr">
        <is>
          <t>0C4A</t>
        </is>
      </c>
      <c r="B639" t="inlineStr">
        <is>
          <t>TELUGU VOWEL SIGN O</t>
        </is>
      </c>
      <c r="C639" t="inlineStr"/>
      <c r="D639" t="inlineStr"/>
    </row>
    <row r="640">
      <c r="A640" t="inlineStr">
        <is>
          <t>0C4B</t>
        </is>
      </c>
      <c r="B640" t="inlineStr">
        <is>
          <t>TELUGU VOWEL SIGN OO</t>
        </is>
      </c>
      <c r="C640" t="inlineStr"/>
      <c r="D640" t="inlineStr"/>
    </row>
    <row r="641">
      <c r="A641" t="inlineStr">
        <is>
          <t>0C4C</t>
        </is>
      </c>
      <c r="B641" t="inlineStr">
        <is>
          <t>TELUGU VOWEL SIGN AU</t>
        </is>
      </c>
      <c r="C641" t="inlineStr"/>
      <c r="D641" t="inlineStr"/>
    </row>
    <row r="642">
      <c r="A642" t="inlineStr">
        <is>
          <t>0C4D</t>
        </is>
      </c>
      <c r="B642" t="inlineStr">
        <is>
          <t xml:space="preserve">TELUGU SIGN VIRAMA </t>
        </is>
      </c>
      <c r="C642">
        <f> halant (the preferred name)</f>
        <v/>
      </c>
      <c r="D642" t="inlineStr"/>
    </row>
    <row r="643">
      <c r="A643" t="inlineStr">
        <is>
          <t>0C55</t>
        </is>
      </c>
      <c r="B643" t="inlineStr">
        <is>
          <t>TELUGU LENGTH MARK</t>
        </is>
      </c>
      <c r="C643" t="inlineStr"/>
      <c r="D643" t="inlineStr"/>
    </row>
    <row r="644">
      <c r="A644" t="inlineStr">
        <is>
          <t>0C56</t>
        </is>
      </c>
      <c r="B644" t="inlineStr">
        <is>
          <t>TELUGU AI LENGTH MARK</t>
        </is>
      </c>
      <c r="C644" t="inlineStr"/>
      <c r="D644" t="inlineStr"/>
    </row>
    <row r="645">
      <c r="A645" t="inlineStr">
        <is>
          <t>0C58</t>
        </is>
      </c>
      <c r="B645" t="inlineStr">
        <is>
          <t>TELUGU LETTER TSA</t>
        </is>
      </c>
      <c r="C645" t="inlineStr"/>
      <c r="D645" t="inlineStr"/>
    </row>
    <row r="646">
      <c r="A646" t="inlineStr">
        <is>
          <t>0C59</t>
        </is>
      </c>
      <c r="B646" t="inlineStr">
        <is>
          <t>TELUGU LETTER DZA</t>
        </is>
      </c>
      <c r="C646" t="inlineStr"/>
      <c r="D646" t="inlineStr"/>
    </row>
    <row r="647">
      <c r="A647" t="inlineStr">
        <is>
          <t>0C5A</t>
        </is>
      </c>
      <c r="B647" t="inlineStr">
        <is>
          <t xml:space="preserve">TELUGU LETTER RRRA </t>
        </is>
      </c>
      <c r="C647" t="inlineStr"/>
      <c r="D647" t="inlineStr"/>
    </row>
    <row r="648">
      <c r="A648" t="inlineStr">
        <is>
          <t>0C5C</t>
        </is>
      </c>
      <c r="B648" t="inlineStr">
        <is>
          <t xml:space="preserve">TELUGU ARCHAIC SHRII </t>
        </is>
      </c>
      <c r="C648" t="inlineStr"/>
      <c r="D648" t="inlineStr"/>
    </row>
    <row r="649">
      <c r="A649" t="inlineStr">
        <is>
          <t>0C5D</t>
        </is>
      </c>
      <c r="B649" t="inlineStr">
        <is>
          <t xml:space="preserve">TELUGU LETTER NAKAARA POLLU </t>
        </is>
      </c>
      <c r="C649" t="inlineStr"/>
      <c r="D649" t="inlineStr">
        <is>
          <t>x (malayalam letter chillu n - 0D7B)</t>
        </is>
      </c>
    </row>
    <row r="650">
      <c r="A650" t="inlineStr">
        <is>
          <t>0C60</t>
        </is>
      </c>
      <c r="B650" t="inlineStr">
        <is>
          <t>TELUGU LETTER VOCALIC RR</t>
        </is>
      </c>
      <c r="C650" t="inlineStr"/>
      <c r="D650" t="inlineStr"/>
    </row>
    <row r="651">
      <c r="A651" t="inlineStr">
        <is>
          <t>0C61</t>
        </is>
      </c>
      <c r="B651" t="inlineStr">
        <is>
          <t>TELUGU LETTER VOCALIC LL</t>
        </is>
      </c>
      <c r="C651" t="inlineStr"/>
      <c r="D651" t="inlineStr"/>
    </row>
    <row r="652">
      <c r="A652" t="inlineStr">
        <is>
          <t>0C62</t>
        </is>
      </c>
      <c r="B652" t="inlineStr">
        <is>
          <t>TELUGU VOWEL SIGN VOCALIC L</t>
        </is>
      </c>
      <c r="C652" t="inlineStr"/>
      <c r="D652" t="inlineStr"/>
    </row>
    <row r="653">
      <c r="A653" t="inlineStr">
        <is>
          <t>0C63</t>
        </is>
      </c>
      <c r="B653" t="inlineStr">
        <is>
          <t>TELUGU VOWEL SIGN VOCALIC LL</t>
        </is>
      </c>
      <c r="C653" t="inlineStr"/>
      <c r="D653" t="inlineStr"/>
    </row>
    <row r="654">
      <c r="A654" t="inlineStr">
        <is>
          <t>0C64</t>
        </is>
      </c>
      <c r="B654" t="inlineStr">
        <is>
          <t xml:space="preserve">&lt;reserved&gt; </t>
        </is>
      </c>
      <c r="C654" t="inlineStr"/>
      <c r="D654" t="inlineStr">
        <is>
          <t>x (devanagari danda - 0964)</t>
        </is>
      </c>
    </row>
    <row r="655">
      <c r="A655" t="inlineStr">
        <is>
          <t>0C65</t>
        </is>
      </c>
      <c r="B655" t="inlineStr">
        <is>
          <t xml:space="preserve">&lt;reserved&gt; </t>
        </is>
      </c>
      <c r="C655" t="inlineStr"/>
      <c r="D655" t="inlineStr">
        <is>
          <t>x (devanagari double danda - 0965)</t>
        </is>
      </c>
    </row>
    <row r="656">
      <c r="A656" t="inlineStr">
        <is>
          <t>0C66</t>
        </is>
      </c>
      <c r="B656" t="inlineStr">
        <is>
          <t>TELUGU DIGIT ZERO</t>
        </is>
      </c>
      <c r="C656" t="inlineStr"/>
      <c r="D656" t="inlineStr"/>
    </row>
    <row r="657">
      <c r="A657" t="inlineStr">
        <is>
          <t>0C67</t>
        </is>
      </c>
      <c r="B657" t="inlineStr">
        <is>
          <t>TELUGU DIGIT ONE</t>
        </is>
      </c>
      <c r="C657" t="inlineStr"/>
      <c r="D657" t="inlineStr"/>
    </row>
    <row r="658">
      <c r="A658" t="inlineStr">
        <is>
          <t>0C68</t>
        </is>
      </c>
      <c r="B658" t="inlineStr">
        <is>
          <t>TELUGU DIGIT TWO</t>
        </is>
      </c>
      <c r="C658" t="inlineStr"/>
      <c r="D658" t="inlineStr"/>
    </row>
    <row r="659">
      <c r="A659" t="inlineStr">
        <is>
          <t>0C69</t>
        </is>
      </c>
      <c r="B659" t="inlineStr">
        <is>
          <t>TELUGU DIGIT THREE</t>
        </is>
      </c>
      <c r="C659" t="inlineStr"/>
      <c r="D659" t="inlineStr"/>
    </row>
    <row r="660">
      <c r="A660" t="inlineStr">
        <is>
          <t>0C6A</t>
        </is>
      </c>
      <c r="B660" t="inlineStr">
        <is>
          <t>TELUGU DIGIT FOUR</t>
        </is>
      </c>
      <c r="C660" t="inlineStr"/>
      <c r="D660" t="inlineStr"/>
    </row>
    <row r="661">
      <c r="A661" t="inlineStr">
        <is>
          <t>0C6B</t>
        </is>
      </c>
      <c r="B661" t="inlineStr">
        <is>
          <t>TELUGU DIGIT FIVE</t>
        </is>
      </c>
      <c r="C661" t="inlineStr"/>
      <c r="D661" t="inlineStr"/>
    </row>
    <row r="662">
      <c r="A662" t="inlineStr">
        <is>
          <t>0C6C</t>
        </is>
      </c>
      <c r="B662" t="inlineStr">
        <is>
          <t>TELUGU DIGIT SIX</t>
        </is>
      </c>
      <c r="C662" t="inlineStr"/>
      <c r="D662" t="inlineStr"/>
    </row>
    <row r="663">
      <c r="A663" t="inlineStr">
        <is>
          <t>0C6D</t>
        </is>
      </c>
      <c r="B663" t="inlineStr">
        <is>
          <t>TELUGU DIGIT SEVEN</t>
        </is>
      </c>
      <c r="C663" t="inlineStr"/>
      <c r="D663" t="inlineStr"/>
    </row>
    <row r="664">
      <c r="A664" t="inlineStr">
        <is>
          <t>0C6E</t>
        </is>
      </c>
      <c r="B664" t="inlineStr">
        <is>
          <t>TELUGU DIGIT EIGHT</t>
        </is>
      </c>
      <c r="C664" t="inlineStr"/>
      <c r="D664" t="inlineStr"/>
    </row>
    <row r="665">
      <c r="A665" t="inlineStr">
        <is>
          <t>0C6F</t>
        </is>
      </c>
      <c r="B665" t="inlineStr">
        <is>
          <t>TELUGU DIGIT NINE</t>
        </is>
      </c>
      <c r="C665" t="inlineStr"/>
      <c r="D665" t="inlineStr"/>
    </row>
    <row r="666">
      <c r="A666" t="inlineStr">
        <is>
          <t>0C77</t>
        </is>
      </c>
      <c r="B666" t="inlineStr">
        <is>
          <t xml:space="preserve">TELUGU SIGN SIDDHAM </t>
        </is>
      </c>
      <c r="C666">
        <f> siddhirastu</f>
        <v/>
      </c>
      <c r="D666" t="inlineStr">
        <is>
          <t>x (sharada sign siddham - 111DB)</t>
        </is>
      </c>
    </row>
    <row r="667">
      <c r="A667" t="inlineStr">
        <is>
          <t>0C78</t>
        </is>
      </c>
      <c r="B667" t="inlineStr">
        <is>
          <t>TELUGU FRACTION DIGIT ZERO FOR ODD POWERS OF FOUR</t>
        </is>
      </c>
      <c r="C667" t="inlineStr"/>
      <c r="D667" t="inlineStr"/>
    </row>
    <row r="668">
      <c r="A668" t="inlineStr">
        <is>
          <t>0C79</t>
        </is>
      </c>
      <c r="B668" t="inlineStr">
        <is>
          <t>TELUGU FRACTION DIGIT ONE FOR ODD POWERS OF FOUR</t>
        </is>
      </c>
      <c r="C668" t="inlineStr"/>
      <c r="D668" t="inlineStr"/>
    </row>
    <row r="669">
      <c r="A669" t="inlineStr">
        <is>
          <t>0C7A</t>
        </is>
      </c>
      <c r="B669" t="inlineStr">
        <is>
          <t>TELUGU FRACTION DIGIT TWO FOR ODD POWERS OF FOUR</t>
        </is>
      </c>
      <c r="C669" t="inlineStr"/>
      <c r="D669" t="inlineStr"/>
    </row>
    <row r="670">
      <c r="A670" t="inlineStr">
        <is>
          <t>0C7B</t>
        </is>
      </c>
      <c r="B670" t="inlineStr">
        <is>
          <t>TELUGU FRACTION DIGIT THREE FOR ODD POWERS OF FOUR</t>
        </is>
      </c>
      <c r="C670" t="inlineStr"/>
      <c r="D670" t="inlineStr"/>
    </row>
    <row r="671">
      <c r="A671" t="inlineStr">
        <is>
          <t>0C7C</t>
        </is>
      </c>
      <c r="B671" t="inlineStr">
        <is>
          <t>TELUGU FRACTION DIGIT ONE FOR EVEN POWERS OF FOUR</t>
        </is>
      </c>
      <c r="C671" t="inlineStr"/>
      <c r="D671" t="inlineStr"/>
    </row>
    <row r="672">
      <c r="A672" t="inlineStr">
        <is>
          <t>0C7D</t>
        </is>
      </c>
      <c r="B672" t="inlineStr">
        <is>
          <t>TELUGU FRACTION DIGIT TWO FOR EVEN POWERS OF FOUR</t>
        </is>
      </c>
      <c r="C672" t="inlineStr"/>
      <c r="D672" t="inlineStr"/>
    </row>
    <row r="673">
      <c r="A673" t="inlineStr">
        <is>
          <t>0C7E</t>
        </is>
      </c>
      <c r="B673" t="inlineStr">
        <is>
          <t>TELUGU FRACTION DIGIT THREE FOR EVEN POWERS OF FOUR</t>
        </is>
      </c>
      <c r="C673" t="inlineStr"/>
      <c r="D673" t="inlineStr"/>
    </row>
    <row r="674">
      <c r="A674" t="inlineStr">
        <is>
          <t>0C7F</t>
        </is>
      </c>
      <c r="B674" t="inlineStr">
        <is>
          <t>TELUGU SIGN TUUMU</t>
        </is>
      </c>
      <c r="C674" t="inlineStr"/>
      <c r="D674" t="inlineStr"/>
    </row>
    <row r="675">
      <c r="A675" t="inlineStr">
        <is>
          <t>0C80</t>
        </is>
      </c>
      <c r="B675" t="inlineStr">
        <is>
          <t>KANNADA SIGN SPACING CANDRABINDU</t>
        </is>
      </c>
      <c r="C675" t="inlineStr"/>
      <c r="D675" t="inlineStr"/>
    </row>
    <row r="676">
      <c r="A676" t="inlineStr">
        <is>
          <t>0C81</t>
        </is>
      </c>
      <c r="B676" t="inlineStr">
        <is>
          <t>KANNADA SIGN CANDRABINDU</t>
        </is>
      </c>
      <c r="C676" t="inlineStr"/>
      <c r="D676" t="inlineStr"/>
    </row>
    <row r="677">
      <c r="A677" t="inlineStr">
        <is>
          <t>0C82</t>
        </is>
      </c>
      <c r="B677" t="inlineStr">
        <is>
          <t xml:space="preserve">KANNADA SIGN ANUSVARA </t>
        </is>
      </c>
      <c r="C677" t="inlineStr"/>
      <c r="D677" t="inlineStr"/>
    </row>
    <row r="678">
      <c r="A678" t="inlineStr">
        <is>
          <t>0C83</t>
        </is>
      </c>
      <c r="B678" t="inlineStr">
        <is>
          <t>KANNADA SIGN VISARGA</t>
        </is>
      </c>
      <c r="C678" t="inlineStr"/>
      <c r="D678" t="inlineStr"/>
    </row>
    <row r="679">
      <c r="A679" t="inlineStr">
        <is>
          <t>0C84</t>
        </is>
      </c>
      <c r="B679" t="inlineStr">
        <is>
          <t xml:space="preserve">KANNADA SIGN SIDDHAM </t>
        </is>
      </c>
      <c r="C679">
        <f> siddhirastu</f>
        <v/>
      </c>
      <c r="D679" t="inlineStr">
        <is>
          <t>x (sharada sign siddham - 111DB)</t>
        </is>
      </c>
    </row>
    <row r="680">
      <c r="A680" t="inlineStr">
        <is>
          <t>0C85</t>
        </is>
      </c>
      <c r="B680" t="inlineStr">
        <is>
          <t>KANNADA LETTER A</t>
        </is>
      </c>
      <c r="C680" t="inlineStr"/>
      <c r="D680" t="inlineStr"/>
    </row>
    <row r="681">
      <c r="A681" t="inlineStr">
        <is>
          <t>0C86</t>
        </is>
      </c>
      <c r="B681" t="inlineStr">
        <is>
          <t>KANNADA LETTER AA</t>
        </is>
      </c>
      <c r="C681" t="inlineStr"/>
      <c r="D681" t="inlineStr"/>
    </row>
    <row r="682">
      <c r="A682" t="inlineStr">
        <is>
          <t>0C87</t>
        </is>
      </c>
      <c r="B682" t="inlineStr">
        <is>
          <t>KANNADA LETTER I</t>
        </is>
      </c>
      <c r="C682" t="inlineStr"/>
      <c r="D682" t="inlineStr"/>
    </row>
    <row r="683">
      <c r="A683" t="inlineStr">
        <is>
          <t>0C88</t>
        </is>
      </c>
      <c r="B683" t="inlineStr">
        <is>
          <t>KANNADA LETTER II</t>
        </is>
      </c>
      <c r="C683" t="inlineStr"/>
      <c r="D683" t="inlineStr"/>
    </row>
    <row r="684">
      <c r="A684" t="inlineStr">
        <is>
          <t>0C89</t>
        </is>
      </c>
      <c r="B684" t="inlineStr">
        <is>
          <t>KANNADA LETTER U</t>
        </is>
      </c>
      <c r="C684" t="inlineStr"/>
      <c r="D684" t="inlineStr"/>
    </row>
    <row r="685">
      <c r="A685" t="inlineStr">
        <is>
          <t>0C8A</t>
        </is>
      </c>
      <c r="B685" t="inlineStr">
        <is>
          <t>KANNADA LETTER UU</t>
        </is>
      </c>
      <c r="C685" t="inlineStr"/>
      <c r="D685" t="inlineStr"/>
    </row>
    <row r="686">
      <c r="A686" t="inlineStr">
        <is>
          <t>0C8B</t>
        </is>
      </c>
      <c r="B686" t="inlineStr">
        <is>
          <t>KANNADA LETTER VOCALIC R</t>
        </is>
      </c>
      <c r="C686" t="inlineStr"/>
      <c r="D686" t="inlineStr"/>
    </row>
    <row r="687">
      <c r="A687" t="inlineStr">
        <is>
          <t>0C8C</t>
        </is>
      </c>
      <c r="B687" t="inlineStr">
        <is>
          <t>KANNADA LETTER VOCALIC L</t>
        </is>
      </c>
      <c r="C687" t="inlineStr"/>
      <c r="D687" t="inlineStr"/>
    </row>
    <row r="688">
      <c r="A688" t="inlineStr">
        <is>
          <t>0C8E</t>
        </is>
      </c>
      <c r="B688" t="inlineStr">
        <is>
          <t>KANNADA LETTER E</t>
        </is>
      </c>
      <c r="C688" t="inlineStr"/>
      <c r="D688" t="inlineStr"/>
    </row>
    <row r="689">
      <c r="A689" t="inlineStr">
        <is>
          <t>0C8F</t>
        </is>
      </c>
      <c r="B689" t="inlineStr">
        <is>
          <t>KANNADA LETTER EE</t>
        </is>
      </c>
      <c r="C689" t="inlineStr"/>
      <c r="D689" t="inlineStr"/>
    </row>
    <row r="690">
      <c r="A690" t="inlineStr">
        <is>
          <t>0C90</t>
        </is>
      </c>
      <c r="B690" t="inlineStr">
        <is>
          <t>KANNADA LETTER AI</t>
        </is>
      </c>
      <c r="C690" t="inlineStr"/>
      <c r="D690" t="inlineStr"/>
    </row>
    <row r="691">
      <c r="A691" t="inlineStr">
        <is>
          <t>0C92</t>
        </is>
      </c>
      <c r="B691" t="inlineStr">
        <is>
          <t>KANNADA LETTER O</t>
        </is>
      </c>
      <c r="C691" t="inlineStr"/>
      <c r="D691" t="inlineStr"/>
    </row>
    <row r="692">
      <c r="A692" t="inlineStr">
        <is>
          <t>0C93</t>
        </is>
      </c>
      <c r="B692" t="inlineStr">
        <is>
          <t>KANNADA LETTER OO</t>
        </is>
      </c>
      <c r="C692" t="inlineStr"/>
      <c r="D692" t="inlineStr"/>
    </row>
    <row r="693">
      <c r="A693" t="inlineStr">
        <is>
          <t>0C94</t>
        </is>
      </c>
      <c r="B693" t="inlineStr">
        <is>
          <t>KANNADA LETTER AU</t>
        </is>
      </c>
      <c r="C693" t="inlineStr"/>
      <c r="D693" t="inlineStr"/>
    </row>
    <row r="694">
      <c r="A694" t="inlineStr">
        <is>
          <t>0C95</t>
        </is>
      </c>
      <c r="B694" t="inlineStr">
        <is>
          <t>KANNADA LETTER KA</t>
        </is>
      </c>
      <c r="C694" t="inlineStr"/>
      <c r="D694" t="inlineStr"/>
    </row>
    <row r="695">
      <c r="A695" t="inlineStr">
        <is>
          <t>0C96</t>
        </is>
      </c>
      <c r="B695" t="inlineStr">
        <is>
          <t>KANNADA LETTER KHA</t>
        </is>
      </c>
      <c r="C695" t="inlineStr"/>
      <c r="D695" t="inlineStr"/>
    </row>
    <row r="696">
      <c r="A696" t="inlineStr">
        <is>
          <t>0C97</t>
        </is>
      </c>
      <c r="B696" t="inlineStr">
        <is>
          <t>KANNADA LETTER GA</t>
        </is>
      </c>
      <c r="C696" t="inlineStr"/>
      <c r="D696" t="inlineStr"/>
    </row>
    <row r="697">
      <c r="A697" t="inlineStr">
        <is>
          <t>0C98</t>
        </is>
      </c>
      <c r="B697" t="inlineStr">
        <is>
          <t>KANNADA LETTER GHA</t>
        </is>
      </c>
      <c r="C697" t="inlineStr"/>
      <c r="D697" t="inlineStr"/>
    </row>
    <row r="698">
      <c r="A698" t="inlineStr">
        <is>
          <t>0C99</t>
        </is>
      </c>
      <c r="B698" t="inlineStr">
        <is>
          <t>KANNADA LETTER NGA</t>
        </is>
      </c>
      <c r="C698" t="inlineStr"/>
      <c r="D698" t="inlineStr"/>
    </row>
    <row r="699">
      <c r="A699" t="inlineStr">
        <is>
          <t>0C9A</t>
        </is>
      </c>
      <c r="B699" t="inlineStr">
        <is>
          <t>KANNADA LETTER CA</t>
        </is>
      </c>
      <c r="C699" t="inlineStr"/>
      <c r="D699" t="inlineStr"/>
    </row>
    <row r="700">
      <c r="A700" t="inlineStr">
        <is>
          <t>0C9B</t>
        </is>
      </c>
      <c r="B700" t="inlineStr">
        <is>
          <t>KANNADA LETTER CHA</t>
        </is>
      </c>
      <c r="C700" t="inlineStr"/>
      <c r="D700" t="inlineStr"/>
    </row>
    <row r="701">
      <c r="A701" t="inlineStr">
        <is>
          <t>0C9C</t>
        </is>
      </c>
      <c r="B701" t="inlineStr">
        <is>
          <t>KANNADA LETTER JA</t>
        </is>
      </c>
      <c r="C701" t="inlineStr"/>
      <c r="D701" t="inlineStr"/>
    </row>
    <row r="702">
      <c r="A702" t="inlineStr">
        <is>
          <t>0C9D</t>
        </is>
      </c>
      <c r="B702" t="inlineStr">
        <is>
          <t>KANNADA LETTER JHA</t>
        </is>
      </c>
      <c r="C702" t="inlineStr"/>
      <c r="D702" t="inlineStr"/>
    </row>
    <row r="703">
      <c r="A703" t="inlineStr">
        <is>
          <t>0C9E</t>
        </is>
      </c>
      <c r="B703" t="inlineStr">
        <is>
          <t>KANNADA LETTER NYA</t>
        </is>
      </c>
      <c r="C703" t="inlineStr"/>
      <c r="D703" t="inlineStr"/>
    </row>
    <row r="704">
      <c r="A704" t="inlineStr">
        <is>
          <t>0C9F</t>
        </is>
      </c>
      <c r="B704" t="inlineStr">
        <is>
          <t>KANNADA LETTER TTA</t>
        </is>
      </c>
      <c r="C704" t="inlineStr"/>
      <c r="D704" t="inlineStr"/>
    </row>
    <row r="705">
      <c r="A705" t="inlineStr">
        <is>
          <t>0CA0</t>
        </is>
      </c>
      <c r="B705" t="inlineStr">
        <is>
          <t>KANNADA LETTER TTHA</t>
        </is>
      </c>
      <c r="C705" t="inlineStr"/>
      <c r="D705" t="inlineStr"/>
    </row>
    <row r="706">
      <c r="A706" t="inlineStr">
        <is>
          <t>0CA1</t>
        </is>
      </c>
      <c r="B706" t="inlineStr">
        <is>
          <t>KANNADA LETTER DDA</t>
        </is>
      </c>
      <c r="C706" t="inlineStr"/>
      <c r="D706" t="inlineStr"/>
    </row>
    <row r="707">
      <c r="A707" t="inlineStr">
        <is>
          <t>0CA2</t>
        </is>
      </c>
      <c r="B707" t="inlineStr">
        <is>
          <t>KANNADA LETTER DDHA</t>
        </is>
      </c>
      <c r="C707" t="inlineStr"/>
      <c r="D707" t="inlineStr"/>
    </row>
    <row r="708">
      <c r="A708" t="inlineStr">
        <is>
          <t>0CA3</t>
        </is>
      </c>
      <c r="B708" t="inlineStr">
        <is>
          <t>KANNADA LETTER NNA</t>
        </is>
      </c>
      <c r="C708" t="inlineStr"/>
      <c r="D708" t="inlineStr"/>
    </row>
    <row r="709">
      <c r="A709" t="inlineStr">
        <is>
          <t>0CA4</t>
        </is>
      </c>
      <c r="B709" t="inlineStr">
        <is>
          <t>KANNADA LETTER TA</t>
        </is>
      </c>
      <c r="C709" t="inlineStr"/>
      <c r="D709" t="inlineStr"/>
    </row>
    <row r="710">
      <c r="A710" t="inlineStr">
        <is>
          <t>0CA5</t>
        </is>
      </c>
      <c r="B710" t="inlineStr">
        <is>
          <t>KANNADA LETTER THA</t>
        </is>
      </c>
      <c r="C710" t="inlineStr"/>
      <c r="D710" t="inlineStr"/>
    </row>
    <row r="711">
      <c r="A711" t="inlineStr">
        <is>
          <t>0CA6</t>
        </is>
      </c>
      <c r="B711" t="inlineStr">
        <is>
          <t>KANNADA LETTER DA</t>
        </is>
      </c>
      <c r="C711" t="inlineStr"/>
      <c r="D711" t="inlineStr"/>
    </row>
    <row r="712">
      <c r="A712" t="inlineStr">
        <is>
          <t>0CA7</t>
        </is>
      </c>
      <c r="B712" t="inlineStr">
        <is>
          <t>KANNADA LETTER DHA</t>
        </is>
      </c>
      <c r="C712" t="inlineStr"/>
      <c r="D712" t="inlineStr"/>
    </row>
    <row r="713">
      <c r="A713" t="inlineStr">
        <is>
          <t>0CA8</t>
        </is>
      </c>
      <c r="B713" t="inlineStr">
        <is>
          <t>KANNADA LETTER NA</t>
        </is>
      </c>
      <c r="C713" t="inlineStr"/>
      <c r="D713" t="inlineStr"/>
    </row>
    <row r="714">
      <c r="A714" t="inlineStr">
        <is>
          <t>0CAA</t>
        </is>
      </c>
      <c r="B714" t="inlineStr">
        <is>
          <t>KANNADA LETTER PA</t>
        </is>
      </c>
      <c r="C714" t="inlineStr"/>
      <c r="D714" t="inlineStr"/>
    </row>
    <row r="715">
      <c r="A715" t="inlineStr">
        <is>
          <t>0CAB</t>
        </is>
      </c>
      <c r="B715" t="inlineStr">
        <is>
          <t>KANNADA LETTER PHA</t>
        </is>
      </c>
      <c r="C715" t="inlineStr"/>
      <c r="D715" t="inlineStr"/>
    </row>
    <row r="716">
      <c r="A716" t="inlineStr">
        <is>
          <t>0CAC</t>
        </is>
      </c>
      <c r="B716" t="inlineStr">
        <is>
          <t>KANNADA LETTER BA</t>
        </is>
      </c>
      <c r="C716" t="inlineStr"/>
      <c r="D716" t="inlineStr"/>
    </row>
    <row r="717">
      <c r="A717" t="inlineStr">
        <is>
          <t>0CAD</t>
        </is>
      </c>
      <c r="B717" t="inlineStr">
        <is>
          <t>KANNADA LETTER BHA</t>
        </is>
      </c>
      <c r="C717" t="inlineStr"/>
      <c r="D717" t="inlineStr"/>
    </row>
    <row r="718">
      <c r="A718" t="inlineStr">
        <is>
          <t>0CAE</t>
        </is>
      </c>
      <c r="B718" t="inlineStr">
        <is>
          <t>KANNADA LETTER MA</t>
        </is>
      </c>
      <c r="C718" t="inlineStr"/>
      <c r="D718" t="inlineStr"/>
    </row>
    <row r="719">
      <c r="A719" t="inlineStr">
        <is>
          <t>0CAF</t>
        </is>
      </c>
      <c r="B719" t="inlineStr">
        <is>
          <t>KANNADA LETTER YA</t>
        </is>
      </c>
      <c r="C719" t="inlineStr"/>
      <c r="D719" t="inlineStr"/>
    </row>
    <row r="720">
      <c r="A720" t="inlineStr">
        <is>
          <t>0CB0</t>
        </is>
      </c>
      <c r="B720" t="inlineStr">
        <is>
          <t>KANNADA LETTER RA</t>
        </is>
      </c>
      <c r="C720" t="inlineStr"/>
      <c r="D720" t="inlineStr"/>
    </row>
    <row r="721">
      <c r="A721" t="inlineStr">
        <is>
          <t>0CB1</t>
        </is>
      </c>
      <c r="B721" t="inlineStr">
        <is>
          <t>KANNADA LETTER RRA</t>
        </is>
      </c>
      <c r="C721" t="inlineStr"/>
      <c r="D721" t="inlineStr"/>
    </row>
    <row r="722">
      <c r="A722" t="inlineStr">
        <is>
          <t>0CB2</t>
        </is>
      </c>
      <c r="B722" t="inlineStr">
        <is>
          <t>KANNADA LETTER LA</t>
        </is>
      </c>
      <c r="C722" t="inlineStr"/>
      <c r="D722" t="inlineStr"/>
    </row>
    <row r="723">
      <c r="A723" t="inlineStr">
        <is>
          <t>0CB3</t>
        </is>
      </c>
      <c r="B723" t="inlineStr">
        <is>
          <t>KANNADA LETTER LLA</t>
        </is>
      </c>
      <c r="C723" t="inlineStr"/>
      <c r="D723" t="inlineStr"/>
    </row>
    <row r="724">
      <c r="A724" t="inlineStr">
        <is>
          <t>0CB5</t>
        </is>
      </c>
      <c r="B724" t="inlineStr">
        <is>
          <t>KANNADA LETTER VA</t>
        </is>
      </c>
      <c r="C724" t="inlineStr"/>
      <c r="D724" t="inlineStr"/>
    </row>
    <row r="725">
      <c r="A725" t="inlineStr">
        <is>
          <t>0CB6</t>
        </is>
      </c>
      <c r="B725" t="inlineStr">
        <is>
          <t>KANNADA LETTER SHA</t>
        </is>
      </c>
      <c r="C725" t="inlineStr"/>
      <c r="D725" t="inlineStr"/>
    </row>
    <row r="726">
      <c r="A726" t="inlineStr">
        <is>
          <t>0CB7</t>
        </is>
      </c>
      <c r="B726" t="inlineStr">
        <is>
          <t>KANNADA LETTER SSA</t>
        </is>
      </c>
      <c r="C726" t="inlineStr"/>
      <c r="D726" t="inlineStr"/>
    </row>
    <row r="727">
      <c r="A727" t="inlineStr">
        <is>
          <t>0CB8</t>
        </is>
      </c>
      <c r="B727" t="inlineStr">
        <is>
          <t>KANNADA LETTER SA</t>
        </is>
      </c>
      <c r="C727" t="inlineStr"/>
      <c r="D727" t="inlineStr"/>
    </row>
    <row r="728">
      <c r="A728" t="inlineStr">
        <is>
          <t>0CB9</t>
        </is>
      </c>
      <c r="B728" t="inlineStr">
        <is>
          <t>KANNADA LETTER HA</t>
        </is>
      </c>
      <c r="C728" t="inlineStr"/>
      <c r="D728" t="inlineStr"/>
    </row>
    <row r="729">
      <c r="A729" t="inlineStr">
        <is>
          <t>0CBC</t>
        </is>
      </c>
      <c r="B729" t="inlineStr">
        <is>
          <t>KANNADA SIGN NUKTA</t>
        </is>
      </c>
      <c r="C729" t="inlineStr"/>
      <c r="D729" t="inlineStr"/>
    </row>
    <row r="730">
      <c r="A730" t="inlineStr">
        <is>
          <t>0CBD</t>
        </is>
      </c>
      <c r="B730" t="inlineStr">
        <is>
          <t>KANNADA SIGN AVAGRAHA</t>
        </is>
      </c>
      <c r="C730" t="inlineStr"/>
      <c r="D730" t="inlineStr"/>
    </row>
    <row r="731">
      <c r="A731" t="inlineStr">
        <is>
          <t>0CBE</t>
        </is>
      </c>
      <c r="B731" t="inlineStr">
        <is>
          <t>KANNADA VOWEL SIGN AA</t>
        </is>
      </c>
      <c r="C731" t="inlineStr"/>
      <c r="D731" t="inlineStr"/>
    </row>
    <row r="732">
      <c r="A732" t="inlineStr">
        <is>
          <t>0CBF</t>
        </is>
      </c>
      <c r="B732" t="inlineStr">
        <is>
          <t>KANNADA VOWEL SIGN I</t>
        </is>
      </c>
      <c r="C732" t="inlineStr"/>
      <c r="D732" t="inlineStr"/>
    </row>
    <row r="733">
      <c r="A733" t="inlineStr">
        <is>
          <t>0CC0</t>
        </is>
      </c>
      <c r="B733" t="inlineStr">
        <is>
          <t xml:space="preserve">KANNADA VOWEL SIGN II </t>
        </is>
      </c>
      <c r="C733" t="inlineStr"/>
      <c r="D733" t="inlineStr"/>
    </row>
    <row r="734">
      <c r="A734" t="inlineStr">
        <is>
          <t>0CC1</t>
        </is>
      </c>
      <c r="B734" t="inlineStr">
        <is>
          <t>KANNADA VOWEL SIGN U</t>
        </is>
      </c>
      <c r="C734" t="inlineStr"/>
      <c r="D734" t="inlineStr"/>
    </row>
    <row r="735">
      <c r="A735" t="inlineStr">
        <is>
          <t>0CC2</t>
        </is>
      </c>
      <c r="B735" t="inlineStr">
        <is>
          <t>KANNADA VOWEL SIGN UU</t>
        </is>
      </c>
      <c r="C735" t="inlineStr"/>
      <c r="D735" t="inlineStr"/>
    </row>
    <row r="736">
      <c r="A736" t="inlineStr">
        <is>
          <t>0CC3</t>
        </is>
      </c>
      <c r="B736" t="inlineStr">
        <is>
          <t>KANNADA VOWEL SIGN VOCALIC R</t>
        </is>
      </c>
      <c r="C736" t="inlineStr"/>
      <c r="D736" t="inlineStr"/>
    </row>
    <row r="737">
      <c r="A737" t="inlineStr">
        <is>
          <t>0CC4</t>
        </is>
      </c>
      <c r="B737" t="inlineStr">
        <is>
          <t>KANNADA VOWEL SIGN VOCALIC RR</t>
        </is>
      </c>
      <c r="C737" t="inlineStr"/>
      <c r="D737" t="inlineStr"/>
    </row>
    <row r="738">
      <c r="A738" t="inlineStr">
        <is>
          <t>0CC6</t>
        </is>
      </c>
      <c r="B738" t="inlineStr">
        <is>
          <t>KANNADA VOWEL SIGN E</t>
        </is>
      </c>
      <c r="C738" t="inlineStr"/>
      <c r="D738" t="inlineStr"/>
    </row>
    <row r="739">
      <c r="A739" t="inlineStr">
        <is>
          <t>0CC7</t>
        </is>
      </c>
      <c r="B739" t="inlineStr">
        <is>
          <t xml:space="preserve">KANNADA VOWEL SIGN EE </t>
        </is>
      </c>
      <c r="C739" t="inlineStr"/>
      <c r="D739" t="inlineStr"/>
    </row>
    <row r="740">
      <c r="A740" t="inlineStr">
        <is>
          <t>0CC8</t>
        </is>
      </c>
      <c r="B740" t="inlineStr">
        <is>
          <t xml:space="preserve">KANNADA VOWEL SIGN AI </t>
        </is>
      </c>
      <c r="C740" t="inlineStr"/>
      <c r="D740" t="inlineStr"/>
    </row>
    <row r="741">
      <c r="A741" t="inlineStr">
        <is>
          <t>0CCA</t>
        </is>
      </c>
      <c r="B741" t="inlineStr">
        <is>
          <t xml:space="preserve">KANNADA VOWEL SIGN O </t>
        </is>
      </c>
      <c r="C741" t="inlineStr"/>
      <c r="D741" t="inlineStr"/>
    </row>
    <row r="742">
      <c r="A742" t="inlineStr">
        <is>
          <t>0CCB</t>
        </is>
      </c>
      <c r="B742" t="inlineStr">
        <is>
          <t xml:space="preserve">KANNADA VOWEL SIGN OO </t>
        </is>
      </c>
      <c r="C742" t="inlineStr"/>
      <c r="D742" t="inlineStr"/>
    </row>
    <row r="743">
      <c r="A743" t="inlineStr">
        <is>
          <t>0CCC</t>
        </is>
      </c>
      <c r="B743" t="inlineStr">
        <is>
          <t>KANNADA VOWEL SIGN AU</t>
        </is>
      </c>
      <c r="C743" t="inlineStr"/>
      <c r="D743" t="inlineStr"/>
    </row>
    <row r="744">
      <c r="A744" t="inlineStr">
        <is>
          <t>0CCD</t>
        </is>
      </c>
      <c r="B744" t="inlineStr">
        <is>
          <t xml:space="preserve">KANNADA SIGN VIRAMA </t>
        </is>
      </c>
      <c r="C744" t="inlineStr"/>
      <c r="D744" t="inlineStr"/>
    </row>
    <row r="745">
      <c r="A745" t="inlineStr">
        <is>
          <t>0CD5</t>
        </is>
      </c>
      <c r="B745" t="inlineStr">
        <is>
          <t>KANNADA LENGTH MARK</t>
        </is>
      </c>
      <c r="C745" t="inlineStr"/>
      <c r="D745" t="inlineStr"/>
    </row>
    <row r="746">
      <c r="A746" t="inlineStr">
        <is>
          <t>0CD6</t>
        </is>
      </c>
      <c r="B746" t="inlineStr">
        <is>
          <t>KANNADA AI LENGTH MARK</t>
        </is>
      </c>
      <c r="C746" t="inlineStr"/>
      <c r="D746" t="inlineStr"/>
    </row>
    <row r="747">
      <c r="A747" t="inlineStr">
        <is>
          <t>0CDC</t>
        </is>
      </c>
      <c r="B747" t="inlineStr">
        <is>
          <t xml:space="preserve">KANNADA ARCHAIC SHRII </t>
        </is>
      </c>
      <c r="C747" t="inlineStr"/>
      <c r="D747" t="inlineStr"/>
    </row>
    <row r="748">
      <c r="A748" t="inlineStr">
        <is>
          <t>0CDD</t>
        </is>
      </c>
      <c r="B748" t="inlineStr">
        <is>
          <t xml:space="preserve">KANNADA LETTER NAKAARA POLLU </t>
        </is>
      </c>
      <c r="C748" t="inlineStr"/>
      <c r="D748" t="inlineStr">
        <is>
          <t>x (malayalam letter chillu n - 0D7B)</t>
        </is>
      </c>
    </row>
    <row r="749">
      <c r="A749" t="inlineStr">
        <is>
          <t>0CDE</t>
        </is>
      </c>
      <c r="B749" t="inlineStr">
        <is>
          <t xml:space="preserve">KANNADA LETTER FA </t>
        </is>
      </c>
      <c r="C749" t="inlineStr"/>
      <c r="D749" t="inlineStr"/>
    </row>
    <row r="750">
      <c r="A750" t="inlineStr">
        <is>
          <t>0CE0</t>
        </is>
      </c>
      <c r="B750" t="inlineStr">
        <is>
          <t>KANNADA LETTER VOCALIC RR</t>
        </is>
      </c>
      <c r="C750" t="inlineStr"/>
      <c r="D750" t="inlineStr"/>
    </row>
    <row r="751">
      <c r="A751" t="inlineStr">
        <is>
          <t>0CE1</t>
        </is>
      </c>
      <c r="B751" t="inlineStr">
        <is>
          <t>KANNADA LETTER VOCALIC LL</t>
        </is>
      </c>
      <c r="C751" t="inlineStr"/>
      <c r="D751" t="inlineStr"/>
    </row>
    <row r="752">
      <c r="A752" t="inlineStr">
        <is>
          <t>0CE2</t>
        </is>
      </c>
      <c r="B752" t="inlineStr">
        <is>
          <t>KANNADA VOWEL SIGN VOCALIC L</t>
        </is>
      </c>
      <c r="C752" t="inlineStr"/>
      <c r="D752" t="inlineStr"/>
    </row>
    <row r="753">
      <c r="A753" t="inlineStr">
        <is>
          <t>0CE3</t>
        </is>
      </c>
      <c r="B753" t="inlineStr">
        <is>
          <t>KANNADA VOWEL SIGN VOCALIC LL</t>
        </is>
      </c>
      <c r="C753" t="inlineStr"/>
      <c r="D753" t="inlineStr"/>
    </row>
    <row r="754">
      <c r="A754" t="inlineStr">
        <is>
          <t>0CE4</t>
        </is>
      </c>
      <c r="B754" t="inlineStr">
        <is>
          <t xml:space="preserve">&lt;reserved&gt; </t>
        </is>
      </c>
      <c r="C754" t="inlineStr"/>
      <c r="D754" t="inlineStr">
        <is>
          <t>x (devanagari danda - 0964)</t>
        </is>
      </c>
    </row>
    <row r="755">
      <c r="A755" t="inlineStr">
        <is>
          <t>0CE5</t>
        </is>
      </c>
      <c r="B755" t="inlineStr">
        <is>
          <t xml:space="preserve">&lt;reserved&gt; </t>
        </is>
      </c>
      <c r="C755" t="inlineStr"/>
      <c r="D755" t="inlineStr">
        <is>
          <t>x (devanagari double danda - 0965)</t>
        </is>
      </c>
    </row>
    <row r="756">
      <c r="A756" t="inlineStr">
        <is>
          <t>0CE6</t>
        </is>
      </c>
      <c r="B756" t="inlineStr">
        <is>
          <t>KANNADA DIGIT ZERO</t>
        </is>
      </c>
      <c r="C756" t="inlineStr"/>
      <c r="D756" t="inlineStr"/>
    </row>
    <row r="757">
      <c r="A757" t="inlineStr">
        <is>
          <t>0CE7</t>
        </is>
      </c>
      <c r="B757" t="inlineStr">
        <is>
          <t>KANNADA DIGIT ONE</t>
        </is>
      </c>
      <c r="C757" t="inlineStr"/>
      <c r="D757" t="inlineStr"/>
    </row>
    <row r="758">
      <c r="A758" t="inlineStr">
        <is>
          <t>0CE8</t>
        </is>
      </c>
      <c r="B758" t="inlineStr">
        <is>
          <t>KANNADA DIGIT TWO</t>
        </is>
      </c>
      <c r="C758" t="inlineStr"/>
      <c r="D758" t="inlineStr"/>
    </row>
    <row r="759">
      <c r="A759" t="inlineStr">
        <is>
          <t>0CE9</t>
        </is>
      </c>
      <c r="B759" t="inlineStr">
        <is>
          <t>KANNADA DIGIT THREE</t>
        </is>
      </c>
      <c r="C759" t="inlineStr"/>
      <c r="D759" t="inlineStr"/>
    </row>
    <row r="760">
      <c r="A760" t="inlineStr">
        <is>
          <t>0CEA</t>
        </is>
      </c>
      <c r="B760" t="inlineStr">
        <is>
          <t>KANNADA DIGIT FOUR</t>
        </is>
      </c>
      <c r="C760" t="inlineStr"/>
      <c r="D760" t="inlineStr"/>
    </row>
    <row r="761">
      <c r="A761" t="inlineStr">
        <is>
          <t>0CEB</t>
        </is>
      </c>
      <c r="B761" t="inlineStr">
        <is>
          <t>KANNADA DIGIT FIVE</t>
        </is>
      </c>
      <c r="C761" t="inlineStr"/>
      <c r="D761" t="inlineStr"/>
    </row>
    <row r="762">
      <c r="A762" t="inlineStr">
        <is>
          <t>0CEC</t>
        </is>
      </c>
      <c r="B762" t="inlineStr">
        <is>
          <t>KANNADA DIGIT SIX</t>
        </is>
      </c>
      <c r="C762" t="inlineStr"/>
      <c r="D762" t="inlineStr"/>
    </row>
    <row r="763">
      <c r="A763" t="inlineStr">
        <is>
          <t>0CED</t>
        </is>
      </c>
      <c r="B763" t="inlineStr">
        <is>
          <t>KANNADA DIGIT SEVEN</t>
        </is>
      </c>
      <c r="C763" t="inlineStr"/>
      <c r="D763" t="inlineStr"/>
    </row>
    <row r="764">
      <c r="A764" t="inlineStr">
        <is>
          <t>0CEE</t>
        </is>
      </c>
      <c r="B764" t="inlineStr">
        <is>
          <t>KANNADA DIGIT EIGHT</t>
        </is>
      </c>
      <c r="C764" t="inlineStr"/>
      <c r="D764" t="inlineStr"/>
    </row>
    <row r="765">
      <c r="A765" t="inlineStr">
        <is>
          <t>0CEF</t>
        </is>
      </c>
      <c r="B765" t="inlineStr">
        <is>
          <t>KANNADA DIGIT NINE</t>
        </is>
      </c>
      <c r="C765" t="inlineStr"/>
      <c r="D765" t="inlineStr"/>
    </row>
    <row r="766">
      <c r="A766" t="inlineStr">
        <is>
          <t>0CF1</t>
        </is>
      </c>
      <c r="B766" t="inlineStr">
        <is>
          <t xml:space="preserve">KANNADA SIGN JIHVAMULIYA </t>
        </is>
      </c>
      <c r="C766" t="inlineStr"/>
      <c r="D766" t="inlineStr">
        <is>
          <t>x (vedic sign jihvamuliya - 1CF5)</t>
        </is>
      </c>
    </row>
    <row r="767">
      <c r="A767" t="inlineStr">
        <is>
          <t>0CF2</t>
        </is>
      </c>
      <c r="B767" t="inlineStr">
        <is>
          <t xml:space="preserve">KANNADA SIGN UPADHMANIYA </t>
        </is>
      </c>
      <c r="C767" t="inlineStr"/>
      <c r="D767" t="inlineStr">
        <is>
          <t>x (vedic sign upadhmaniya - 1CF6)</t>
        </is>
      </c>
    </row>
    <row r="768">
      <c r="A768" t="inlineStr">
        <is>
          <t>0CF3</t>
        </is>
      </c>
      <c r="B768" t="inlineStr">
        <is>
          <t xml:space="preserve">KANNADA SIGN COMBINING ANUSVARA ABOVE RIGHT </t>
        </is>
      </c>
      <c r="C768" t="inlineStr"/>
      <c r="D768" t="inlineStr"/>
    </row>
    <row r="769">
      <c r="A769" t="inlineStr">
        <is>
          <t>0D00</t>
        </is>
      </c>
      <c r="B769" t="inlineStr">
        <is>
          <t>MALAYALAM SIGN COMBINING ANUSVARA ABOVE</t>
        </is>
      </c>
      <c r="C769" t="inlineStr"/>
      <c r="D769" t="inlineStr"/>
    </row>
    <row r="770">
      <c r="A770" t="inlineStr">
        <is>
          <t>0D01</t>
        </is>
      </c>
      <c r="B770" t="inlineStr">
        <is>
          <t>MALAYALAM SIGN CANDRABINDU</t>
        </is>
      </c>
      <c r="C770" t="inlineStr"/>
      <c r="D770" t="inlineStr"/>
    </row>
    <row r="771">
      <c r="A771" t="inlineStr">
        <is>
          <t>0D02</t>
        </is>
      </c>
      <c r="B771" t="inlineStr">
        <is>
          <t xml:space="preserve">MALAYALAM SIGN ANUSVARA </t>
        </is>
      </c>
      <c r="C771" t="inlineStr"/>
      <c r="D771" t="inlineStr"/>
    </row>
    <row r="772">
      <c r="A772" t="inlineStr">
        <is>
          <t>0D03</t>
        </is>
      </c>
      <c r="B772" t="inlineStr">
        <is>
          <t>MALAYALAM SIGN VISARGA</t>
        </is>
      </c>
      <c r="C772" t="inlineStr"/>
      <c r="D772" t="inlineStr"/>
    </row>
    <row r="773">
      <c r="A773" t="inlineStr">
        <is>
          <t>0D04</t>
        </is>
      </c>
      <c r="B773" t="inlineStr">
        <is>
          <t>MALAYALAM LETTER VEDIC ANUSVARA</t>
        </is>
      </c>
      <c r="C773" t="inlineStr"/>
      <c r="D773" t="inlineStr"/>
    </row>
    <row r="774">
      <c r="A774" t="inlineStr">
        <is>
          <t>0D05</t>
        </is>
      </c>
      <c r="B774" t="inlineStr">
        <is>
          <t>MALAYALAM LETTER A</t>
        </is>
      </c>
      <c r="C774" t="inlineStr"/>
      <c r="D774" t="inlineStr"/>
    </row>
    <row r="775">
      <c r="A775" t="inlineStr">
        <is>
          <t>0D06</t>
        </is>
      </c>
      <c r="B775" t="inlineStr">
        <is>
          <t>MALAYALAM LETTER AA</t>
        </is>
      </c>
      <c r="C775" t="inlineStr"/>
      <c r="D775" t="inlineStr"/>
    </row>
    <row r="776">
      <c r="A776" t="inlineStr">
        <is>
          <t>0D07</t>
        </is>
      </c>
      <c r="B776" t="inlineStr">
        <is>
          <t>MALAYALAM LETTER I</t>
        </is>
      </c>
      <c r="C776" t="inlineStr"/>
      <c r="D776" t="inlineStr"/>
    </row>
    <row r="777">
      <c r="A777" t="inlineStr">
        <is>
          <t>0D08</t>
        </is>
      </c>
      <c r="B777" t="inlineStr">
        <is>
          <t>MALAYALAM LETTER II</t>
        </is>
      </c>
      <c r="C777" t="inlineStr"/>
      <c r="D777" t="inlineStr"/>
    </row>
    <row r="778">
      <c r="A778" t="inlineStr">
        <is>
          <t>0D09</t>
        </is>
      </c>
      <c r="B778" t="inlineStr">
        <is>
          <t>MALAYALAM LETTER U</t>
        </is>
      </c>
      <c r="C778" t="inlineStr"/>
      <c r="D778" t="inlineStr"/>
    </row>
    <row r="779">
      <c r="A779" t="inlineStr">
        <is>
          <t>0D0A</t>
        </is>
      </c>
      <c r="B779" t="inlineStr">
        <is>
          <t>MALAYALAM LETTER UU</t>
        </is>
      </c>
      <c r="C779" t="inlineStr"/>
      <c r="D779" t="inlineStr"/>
    </row>
    <row r="780">
      <c r="A780" t="inlineStr">
        <is>
          <t>0D0B</t>
        </is>
      </c>
      <c r="B780" t="inlineStr">
        <is>
          <t>MALAYALAM LETTER VOCALIC R</t>
        </is>
      </c>
      <c r="C780" t="inlineStr"/>
      <c r="D780" t="inlineStr"/>
    </row>
    <row r="781">
      <c r="A781" t="inlineStr">
        <is>
          <t>0D0C</t>
        </is>
      </c>
      <c r="B781" t="inlineStr">
        <is>
          <t>MALAYALAM LETTER VOCALIC L</t>
        </is>
      </c>
      <c r="C781" t="inlineStr"/>
      <c r="D781" t="inlineStr"/>
    </row>
    <row r="782">
      <c r="A782" t="inlineStr">
        <is>
          <t>0D0E</t>
        </is>
      </c>
      <c r="B782" t="inlineStr">
        <is>
          <t>MALAYALAM LETTER E</t>
        </is>
      </c>
      <c r="C782" t="inlineStr"/>
      <c r="D782" t="inlineStr"/>
    </row>
    <row r="783">
      <c r="A783" t="inlineStr">
        <is>
          <t>0D0F</t>
        </is>
      </c>
      <c r="B783" t="inlineStr">
        <is>
          <t>MALAYALAM LETTER EE</t>
        </is>
      </c>
      <c r="C783" t="inlineStr"/>
      <c r="D783" t="inlineStr"/>
    </row>
    <row r="784">
      <c r="A784" t="inlineStr">
        <is>
          <t>0D10</t>
        </is>
      </c>
      <c r="B784" t="inlineStr">
        <is>
          <t>MALAYALAM LETTER AI</t>
        </is>
      </c>
      <c r="C784" t="inlineStr"/>
      <c r="D784" t="inlineStr"/>
    </row>
    <row r="785">
      <c r="A785" t="inlineStr">
        <is>
          <t>0D12</t>
        </is>
      </c>
      <c r="B785" t="inlineStr">
        <is>
          <t>MALAYALAM LETTER O</t>
        </is>
      </c>
      <c r="C785" t="inlineStr"/>
      <c r="D785" t="inlineStr"/>
    </row>
    <row r="786">
      <c r="A786" t="inlineStr">
        <is>
          <t>0D13</t>
        </is>
      </c>
      <c r="B786" t="inlineStr">
        <is>
          <t>MALAYALAM LETTER OO</t>
        </is>
      </c>
      <c r="C786" t="inlineStr"/>
      <c r="D786" t="inlineStr"/>
    </row>
    <row r="787">
      <c r="A787" t="inlineStr">
        <is>
          <t>0D14</t>
        </is>
      </c>
      <c r="B787" t="inlineStr">
        <is>
          <t>MALAYALAM LETTER AU</t>
        </is>
      </c>
      <c r="C787" t="inlineStr"/>
      <c r="D787" t="inlineStr"/>
    </row>
    <row r="788">
      <c r="A788" t="inlineStr">
        <is>
          <t>0D15</t>
        </is>
      </c>
      <c r="B788" t="inlineStr">
        <is>
          <t>MALAYALAM LETTER KA</t>
        </is>
      </c>
      <c r="C788" t="inlineStr"/>
      <c r="D788" t="inlineStr"/>
    </row>
    <row r="789">
      <c r="A789" t="inlineStr">
        <is>
          <t>0D16</t>
        </is>
      </c>
      <c r="B789" t="inlineStr">
        <is>
          <t>MALAYALAM LETTER KHA</t>
        </is>
      </c>
      <c r="C789" t="inlineStr"/>
      <c r="D789" t="inlineStr"/>
    </row>
    <row r="790">
      <c r="A790" t="inlineStr">
        <is>
          <t>0D17</t>
        </is>
      </c>
      <c r="B790" t="inlineStr">
        <is>
          <t>MALAYALAM LETTER GA</t>
        </is>
      </c>
      <c r="C790" t="inlineStr"/>
      <c r="D790" t="inlineStr"/>
    </row>
    <row r="791">
      <c r="A791" t="inlineStr">
        <is>
          <t>0D18</t>
        </is>
      </c>
      <c r="B791" t="inlineStr">
        <is>
          <t>MALAYALAM LETTER GHA</t>
        </is>
      </c>
      <c r="C791" t="inlineStr"/>
      <c r="D791" t="inlineStr"/>
    </row>
    <row r="792">
      <c r="A792" t="inlineStr">
        <is>
          <t>0D19</t>
        </is>
      </c>
      <c r="B792" t="inlineStr">
        <is>
          <t>MALAYALAM LETTER NGA</t>
        </is>
      </c>
      <c r="C792" t="inlineStr"/>
      <c r="D792" t="inlineStr"/>
    </row>
    <row r="793">
      <c r="A793" t="inlineStr">
        <is>
          <t>0D1A</t>
        </is>
      </c>
      <c r="B793" t="inlineStr">
        <is>
          <t xml:space="preserve">MALAYALAM LETTER CA </t>
        </is>
      </c>
      <c r="C793">
        <f> cha</f>
        <v/>
      </c>
      <c r="D793" t="inlineStr"/>
    </row>
    <row r="794">
      <c r="A794" t="inlineStr">
        <is>
          <t>0D1B</t>
        </is>
      </c>
      <c r="B794" t="inlineStr">
        <is>
          <t xml:space="preserve">MALAYALAM LETTER CHA </t>
        </is>
      </c>
      <c r="C794">
        <f> chha</f>
        <v/>
      </c>
      <c r="D794" t="inlineStr"/>
    </row>
    <row r="795">
      <c r="A795" t="inlineStr">
        <is>
          <t>0D1C</t>
        </is>
      </c>
      <c r="B795" t="inlineStr">
        <is>
          <t>MALAYALAM LETTER JA</t>
        </is>
      </c>
      <c r="C795" t="inlineStr"/>
      <c r="D795" t="inlineStr"/>
    </row>
    <row r="796">
      <c r="A796" t="inlineStr">
        <is>
          <t>0D1D</t>
        </is>
      </c>
      <c r="B796" t="inlineStr">
        <is>
          <t>MALAYALAM LETTER JHA</t>
        </is>
      </c>
      <c r="C796" t="inlineStr"/>
      <c r="D796" t="inlineStr"/>
    </row>
    <row r="797">
      <c r="A797" t="inlineStr">
        <is>
          <t>0D1E</t>
        </is>
      </c>
      <c r="B797" t="inlineStr">
        <is>
          <t xml:space="preserve">MALAYALAM LETTER NYA </t>
        </is>
      </c>
      <c r="C797">
        <f> nha</f>
        <v/>
      </c>
      <c r="D797" t="inlineStr"/>
    </row>
    <row r="798">
      <c r="A798" t="inlineStr">
        <is>
          <t>0D1F</t>
        </is>
      </c>
      <c r="B798" t="inlineStr">
        <is>
          <t xml:space="preserve">MALAYALAM LETTER TTA </t>
        </is>
      </c>
      <c r="C798">
        <f> ta</f>
        <v/>
      </c>
      <c r="D798" t="inlineStr"/>
    </row>
    <row r="799">
      <c r="A799" t="inlineStr">
        <is>
          <t>0D20</t>
        </is>
      </c>
      <c r="B799" t="inlineStr">
        <is>
          <t xml:space="preserve">MALAYALAM LETTER TTHA </t>
        </is>
      </c>
      <c r="C799">
        <f> tta</f>
        <v/>
      </c>
      <c r="D799" t="inlineStr"/>
    </row>
    <row r="800">
      <c r="A800" t="inlineStr">
        <is>
          <t>0D21</t>
        </is>
      </c>
      <c r="B800" t="inlineStr">
        <is>
          <t xml:space="preserve">MALAYALAM LETTER DDA </t>
        </is>
      </c>
      <c r="C800">
        <f> hard da</f>
        <v/>
      </c>
      <c r="D800" t="inlineStr"/>
    </row>
    <row r="801">
      <c r="A801" t="inlineStr">
        <is>
          <t>0D22</t>
        </is>
      </c>
      <c r="B801" t="inlineStr">
        <is>
          <t xml:space="preserve">MALAYALAM LETTER DDHA </t>
        </is>
      </c>
      <c r="C801">
        <f> hard dda</f>
        <v/>
      </c>
      <c r="D801" t="inlineStr"/>
    </row>
    <row r="802">
      <c r="A802" t="inlineStr">
        <is>
          <t>0D23</t>
        </is>
      </c>
      <c r="B802" t="inlineStr">
        <is>
          <t xml:space="preserve">MALAYALAM LETTER NNA </t>
        </is>
      </c>
      <c r="C802">
        <f> hard na</f>
        <v/>
      </c>
      <c r="D802" t="inlineStr"/>
    </row>
    <row r="803">
      <c r="A803" t="inlineStr">
        <is>
          <t>0D24</t>
        </is>
      </c>
      <c r="B803" t="inlineStr">
        <is>
          <t xml:space="preserve">MALAYALAM LETTER TA </t>
        </is>
      </c>
      <c r="C803">
        <f> tha</f>
        <v/>
      </c>
      <c r="D803" t="inlineStr"/>
    </row>
    <row r="804">
      <c r="A804" t="inlineStr">
        <is>
          <t>0D25</t>
        </is>
      </c>
      <c r="B804" t="inlineStr">
        <is>
          <t xml:space="preserve">MALAYALAM LETTER THA </t>
        </is>
      </c>
      <c r="C804">
        <f> ttha</f>
        <v/>
      </c>
      <c r="D804" t="inlineStr"/>
    </row>
    <row r="805">
      <c r="A805" t="inlineStr">
        <is>
          <t>0D26</t>
        </is>
      </c>
      <c r="B805" t="inlineStr">
        <is>
          <t xml:space="preserve">MALAYALAM LETTER DA </t>
        </is>
      </c>
      <c r="C805">
        <f> soft da</f>
        <v/>
      </c>
      <c r="D805" t="inlineStr"/>
    </row>
    <row r="806">
      <c r="A806" t="inlineStr">
        <is>
          <t>0D27</t>
        </is>
      </c>
      <c r="B806" t="inlineStr">
        <is>
          <t xml:space="preserve">MALAYALAM LETTER DHA </t>
        </is>
      </c>
      <c r="C806">
        <f> soft dda</f>
        <v/>
      </c>
      <c r="D806" t="inlineStr"/>
    </row>
    <row r="807">
      <c r="A807" t="inlineStr">
        <is>
          <t>0D28</t>
        </is>
      </c>
      <c r="B807" t="inlineStr">
        <is>
          <t>MALAYALAM LETTER NA</t>
        </is>
      </c>
      <c r="C807" t="inlineStr"/>
      <c r="D807" t="inlineStr"/>
    </row>
    <row r="808">
      <c r="A808" t="inlineStr">
        <is>
          <t>0D29</t>
        </is>
      </c>
      <c r="B808" t="inlineStr">
        <is>
          <t xml:space="preserve">MALAYALAM LETTER NNNA </t>
        </is>
      </c>
      <c r="C808" t="inlineStr"/>
      <c r="D808" t="inlineStr"/>
    </row>
    <row r="809">
      <c r="A809" t="inlineStr">
        <is>
          <t>0D2A</t>
        </is>
      </c>
      <c r="B809" t="inlineStr">
        <is>
          <t>MALAYALAM LETTER PA</t>
        </is>
      </c>
      <c r="C809" t="inlineStr"/>
      <c r="D809" t="inlineStr"/>
    </row>
    <row r="810">
      <c r="A810" t="inlineStr">
        <is>
          <t>0D2B</t>
        </is>
      </c>
      <c r="B810" t="inlineStr">
        <is>
          <t>MALAYALAM LETTER PHA</t>
        </is>
      </c>
      <c r="C810" t="inlineStr"/>
      <c r="D810" t="inlineStr"/>
    </row>
    <row r="811">
      <c r="A811" t="inlineStr">
        <is>
          <t>0D2C</t>
        </is>
      </c>
      <c r="B811" t="inlineStr">
        <is>
          <t>MALAYALAM LETTER BA</t>
        </is>
      </c>
      <c r="C811" t="inlineStr"/>
      <c r="D811" t="inlineStr"/>
    </row>
    <row r="812">
      <c r="A812" t="inlineStr">
        <is>
          <t>0D2D</t>
        </is>
      </c>
      <c r="B812" t="inlineStr">
        <is>
          <t>MALAYALAM LETTER BHA</t>
        </is>
      </c>
      <c r="C812" t="inlineStr"/>
      <c r="D812" t="inlineStr"/>
    </row>
    <row r="813">
      <c r="A813" t="inlineStr">
        <is>
          <t>0D2E</t>
        </is>
      </c>
      <c r="B813" t="inlineStr">
        <is>
          <t xml:space="preserve">MALAYALAM LETTER MA </t>
        </is>
      </c>
      <c r="C813" t="inlineStr"/>
      <c r="D813" t="inlineStr"/>
    </row>
    <row r="814">
      <c r="A814" t="inlineStr">
        <is>
          <t>0D2F</t>
        </is>
      </c>
      <c r="B814" t="inlineStr">
        <is>
          <t>MALAYALAM LETTER YA</t>
        </is>
      </c>
      <c r="C814" t="inlineStr"/>
      <c r="D814" t="inlineStr"/>
    </row>
    <row r="815">
      <c r="A815" t="inlineStr">
        <is>
          <t>0D30</t>
        </is>
      </c>
      <c r="B815" t="inlineStr">
        <is>
          <t>MALAYALAM LETTER RA</t>
        </is>
      </c>
      <c r="C815" t="inlineStr"/>
      <c r="D815" t="inlineStr"/>
    </row>
    <row r="816">
      <c r="A816" t="inlineStr">
        <is>
          <t>0D31</t>
        </is>
      </c>
      <c r="B816" t="inlineStr">
        <is>
          <t>MALAYALAM LETTER RRA</t>
        </is>
      </c>
      <c r="C816" t="inlineStr"/>
      <c r="D816" t="inlineStr"/>
    </row>
    <row r="817">
      <c r="A817" t="inlineStr">
        <is>
          <t>0D32</t>
        </is>
      </c>
      <c r="B817" t="inlineStr">
        <is>
          <t>MALAYALAM LETTER LA</t>
        </is>
      </c>
      <c r="C817" t="inlineStr"/>
      <c r="D817" t="inlineStr"/>
    </row>
    <row r="818">
      <c r="A818" t="inlineStr">
        <is>
          <t>0D33</t>
        </is>
      </c>
      <c r="B818" t="inlineStr">
        <is>
          <t>MALAYALAM LETTER LLA</t>
        </is>
      </c>
      <c r="C818" t="inlineStr"/>
      <c r="D818" t="inlineStr"/>
    </row>
    <row r="819">
      <c r="A819" t="inlineStr">
        <is>
          <t>0D34</t>
        </is>
      </c>
      <c r="B819" t="inlineStr">
        <is>
          <t xml:space="preserve">MALAYALAM LETTER LLLA </t>
        </is>
      </c>
      <c r="C819">
        <f> zha</f>
        <v/>
      </c>
      <c r="D819" t="inlineStr"/>
    </row>
    <row r="820">
      <c r="A820" t="inlineStr">
        <is>
          <t>0D35</t>
        </is>
      </c>
      <c r="B820" t="inlineStr">
        <is>
          <t>MALAYALAM LETTER VA</t>
        </is>
      </c>
      <c r="C820" t="inlineStr"/>
      <c r="D820" t="inlineStr"/>
    </row>
    <row r="821">
      <c r="A821" t="inlineStr">
        <is>
          <t>0D36</t>
        </is>
      </c>
      <c r="B821" t="inlineStr">
        <is>
          <t xml:space="preserve">MALAYALAM LETTER SHA </t>
        </is>
      </c>
      <c r="C821">
        <f> soft sha</f>
        <v/>
      </c>
      <c r="D821" t="inlineStr"/>
    </row>
    <row r="822">
      <c r="A822" t="inlineStr">
        <is>
          <t>0D37</t>
        </is>
      </c>
      <c r="B822" t="inlineStr">
        <is>
          <t xml:space="preserve">MALAYALAM LETTER SSA </t>
        </is>
      </c>
      <c r="C822">
        <f> sha</f>
        <v/>
      </c>
      <c r="D822" t="inlineStr"/>
    </row>
    <row r="823">
      <c r="A823" t="inlineStr">
        <is>
          <t>0D38</t>
        </is>
      </c>
      <c r="B823" t="inlineStr">
        <is>
          <t>MALAYALAM LETTER SA</t>
        </is>
      </c>
      <c r="C823" t="inlineStr"/>
      <c r="D823" t="inlineStr"/>
    </row>
    <row r="824">
      <c r="A824" t="inlineStr">
        <is>
          <t>0D39</t>
        </is>
      </c>
      <c r="B824" t="inlineStr">
        <is>
          <t>MALAYALAM LETTER HA</t>
        </is>
      </c>
      <c r="C824" t="inlineStr"/>
      <c r="D824" t="inlineStr"/>
    </row>
    <row r="825">
      <c r="A825" t="inlineStr">
        <is>
          <t>0D3A</t>
        </is>
      </c>
      <c r="B825" t="inlineStr">
        <is>
          <t xml:space="preserve">MALAYALAM LETTER TTTA </t>
        </is>
      </c>
      <c r="C825" t="inlineStr"/>
      <c r="D825" t="inlineStr"/>
    </row>
    <row r="826">
      <c r="A826" t="inlineStr">
        <is>
          <t>0D3B</t>
        </is>
      </c>
      <c r="B826" t="inlineStr">
        <is>
          <t>MALAYALAM SIGN VERTICAL BAR VIRAMA</t>
        </is>
      </c>
      <c r="C826" t="inlineStr"/>
      <c r="D826" t="inlineStr"/>
    </row>
    <row r="827">
      <c r="A827" t="inlineStr">
        <is>
          <t>0D3C</t>
        </is>
      </c>
      <c r="B827" t="inlineStr">
        <is>
          <t>MALAYALAM SIGN CIRCULAR VIRAMA</t>
        </is>
      </c>
      <c r="C827" t="inlineStr"/>
      <c r="D827" t="inlineStr"/>
    </row>
    <row r="828">
      <c r="A828" t="inlineStr">
        <is>
          <t>0D3D</t>
        </is>
      </c>
      <c r="B828" t="inlineStr">
        <is>
          <t xml:space="preserve">MALAYALAM SIGN AVAGRAHA </t>
        </is>
      </c>
      <c r="C828">
        <f> praslesham</f>
        <v/>
      </c>
      <c r="D828" t="inlineStr"/>
    </row>
    <row r="829">
      <c r="A829" t="inlineStr">
        <is>
          <t>0D3E</t>
        </is>
      </c>
      <c r="B829" t="inlineStr">
        <is>
          <t>MALAYALAM VOWEL SIGN AA</t>
        </is>
      </c>
      <c r="C829" t="inlineStr"/>
      <c r="D829" t="inlineStr"/>
    </row>
    <row r="830">
      <c r="A830" t="inlineStr">
        <is>
          <t>0D3F</t>
        </is>
      </c>
      <c r="B830" t="inlineStr">
        <is>
          <t>MALAYALAM VOWEL SIGN I</t>
        </is>
      </c>
      <c r="C830" t="inlineStr"/>
      <c r="D830" t="inlineStr"/>
    </row>
    <row r="831">
      <c r="A831" t="inlineStr">
        <is>
          <t>0D40</t>
        </is>
      </c>
      <c r="B831" t="inlineStr">
        <is>
          <t>MALAYALAM VOWEL SIGN II</t>
        </is>
      </c>
      <c r="C831" t="inlineStr"/>
      <c r="D831" t="inlineStr"/>
    </row>
    <row r="832">
      <c r="A832" t="inlineStr">
        <is>
          <t>0D41</t>
        </is>
      </c>
      <c r="B832" t="inlineStr">
        <is>
          <t>MALAYALAM VOWEL SIGN U</t>
        </is>
      </c>
      <c r="C832" t="inlineStr"/>
      <c r="D832" t="inlineStr"/>
    </row>
    <row r="833">
      <c r="A833" t="inlineStr">
        <is>
          <t>0D42</t>
        </is>
      </c>
      <c r="B833" t="inlineStr">
        <is>
          <t>MALAYALAM VOWEL SIGN UU</t>
        </is>
      </c>
      <c r="C833" t="inlineStr"/>
      <c r="D833" t="inlineStr"/>
    </row>
    <row r="834">
      <c r="A834" t="inlineStr">
        <is>
          <t>0D43</t>
        </is>
      </c>
      <c r="B834" t="inlineStr">
        <is>
          <t>MALAYALAM VOWEL SIGN VOCALIC R</t>
        </is>
      </c>
      <c r="C834" t="inlineStr"/>
      <c r="D834" t="inlineStr"/>
    </row>
    <row r="835">
      <c r="A835" t="inlineStr">
        <is>
          <t>0D44</t>
        </is>
      </c>
      <c r="B835" t="inlineStr">
        <is>
          <t>MALAYALAM VOWEL SIGN VOCALIC RR</t>
        </is>
      </c>
      <c r="C835" t="inlineStr"/>
      <c r="D835" t="inlineStr"/>
    </row>
    <row r="836">
      <c r="A836" t="inlineStr">
        <is>
          <t>0D46</t>
        </is>
      </c>
      <c r="B836" t="inlineStr">
        <is>
          <t xml:space="preserve">MALAYALAM VOWEL SIGN E </t>
        </is>
      </c>
      <c r="C836" t="inlineStr"/>
      <c r="D836" t="inlineStr"/>
    </row>
    <row r="837">
      <c r="A837" t="inlineStr">
        <is>
          <t>0D47</t>
        </is>
      </c>
      <c r="B837" t="inlineStr">
        <is>
          <t xml:space="preserve">MALAYALAM VOWEL SIGN EE </t>
        </is>
      </c>
      <c r="C837" t="inlineStr"/>
      <c r="D837" t="inlineStr"/>
    </row>
    <row r="838">
      <c r="A838" t="inlineStr">
        <is>
          <t>0D48</t>
        </is>
      </c>
      <c r="B838" t="inlineStr">
        <is>
          <t xml:space="preserve">MALAYALAM VOWEL SIGN AI </t>
        </is>
      </c>
      <c r="C838" t="inlineStr"/>
      <c r="D838" t="inlineStr"/>
    </row>
    <row r="839">
      <c r="A839" t="inlineStr">
        <is>
          <t>0D4A</t>
        </is>
      </c>
      <c r="B839" t="inlineStr">
        <is>
          <t xml:space="preserve">MALAYALAM VOWEL SIGN O </t>
        </is>
      </c>
      <c r="C839" t="inlineStr"/>
      <c r="D839" t="inlineStr"/>
    </row>
    <row r="840">
      <c r="A840" t="inlineStr">
        <is>
          <t>0D4B</t>
        </is>
      </c>
      <c r="B840" t="inlineStr">
        <is>
          <t xml:space="preserve">MALAYALAM VOWEL SIGN OO </t>
        </is>
      </c>
      <c r="C840" t="inlineStr"/>
      <c r="D840" t="inlineStr"/>
    </row>
    <row r="841">
      <c r="A841" t="inlineStr">
        <is>
          <t>0D4C</t>
        </is>
      </c>
      <c r="B841" t="inlineStr">
        <is>
          <t xml:space="preserve">MALAYALAM VOWEL SIGN AU </t>
        </is>
      </c>
      <c r="C841" t="inlineStr"/>
      <c r="D841" t="inlineStr">
        <is>
          <t>x (malayalam au length mark - 0D57)</t>
        </is>
      </c>
    </row>
    <row r="842">
      <c r="A842" t="inlineStr">
        <is>
          <t>0D4D</t>
        </is>
      </c>
      <c r="B842" t="inlineStr">
        <is>
          <t xml:space="preserve">MALAYALAM SIGN VIRAMA </t>
        </is>
      </c>
      <c r="C842">
        <f> vowel half-u</f>
        <v/>
      </c>
      <c r="D842" t="inlineStr"/>
    </row>
    <row r="843">
      <c r="A843" t="inlineStr">
        <is>
          <t>0D4E</t>
        </is>
      </c>
      <c r="B843" t="inlineStr">
        <is>
          <t xml:space="preserve">MALAYALAM LETTER DOT REPH </t>
        </is>
      </c>
      <c r="C843" t="inlineStr"/>
      <c r="D843" t="inlineStr"/>
    </row>
    <row r="844">
      <c r="A844" t="inlineStr">
        <is>
          <t>0D4F</t>
        </is>
      </c>
      <c r="B844" t="inlineStr">
        <is>
          <t xml:space="preserve">MALAYALAM SIGN PARA </t>
        </is>
      </c>
      <c r="C844" t="inlineStr"/>
      <c r="D844" t="inlineStr"/>
    </row>
    <row r="845">
      <c r="A845" t="inlineStr">
        <is>
          <t>0D54</t>
        </is>
      </c>
      <c r="B845" t="inlineStr">
        <is>
          <t>MALAYALAM LETTER CHILLU M</t>
        </is>
      </c>
      <c r="C845" t="inlineStr"/>
      <c r="D845" t="inlineStr"/>
    </row>
    <row r="846">
      <c r="A846" t="inlineStr">
        <is>
          <t>0D55</t>
        </is>
      </c>
      <c r="B846" t="inlineStr">
        <is>
          <t>MALAYALAM LETTER CHILLU Y</t>
        </is>
      </c>
      <c r="C846" t="inlineStr"/>
      <c r="D846" t="inlineStr"/>
    </row>
    <row r="847">
      <c r="A847" t="inlineStr">
        <is>
          <t>0D56</t>
        </is>
      </c>
      <c r="B847" t="inlineStr">
        <is>
          <t>MALAYALAM LETTER CHILLU LLL</t>
        </is>
      </c>
      <c r="C847" t="inlineStr"/>
      <c r="D847" t="inlineStr"/>
    </row>
    <row r="848">
      <c r="A848" t="inlineStr">
        <is>
          <t>0D57</t>
        </is>
      </c>
      <c r="B848" t="inlineStr">
        <is>
          <t xml:space="preserve">MALAYALAM AU LENGTH MARK </t>
        </is>
      </c>
      <c r="C848" t="inlineStr"/>
      <c r="D848" t="inlineStr">
        <is>
          <t>x (malayalam vowel sign au - 0D4C)</t>
        </is>
      </c>
    </row>
    <row r="849">
      <c r="A849" t="inlineStr">
        <is>
          <t>0D58</t>
        </is>
      </c>
      <c r="B849" t="inlineStr">
        <is>
          <t xml:space="preserve">MALAYALAM FRACTION ONE ONE-HUNDRED-AND-SIXTIETH </t>
        </is>
      </c>
      <c r="C849">
        <f> arakaani</f>
        <v/>
      </c>
      <c r="D849" t="inlineStr"/>
    </row>
    <row r="850">
      <c r="A850" t="inlineStr">
        <is>
          <t>0D59</t>
        </is>
      </c>
      <c r="B850" t="inlineStr">
        <is>
          <t xml:space="preserve">MALAYALAM FRACTION ONE FORTIETH </t>
        </is>
      </c>
      <c r="C850">
        <f> aramaa</f>
        <v/>
      </c>
      <c r="D850" t="inlineStr"/>
    </row>
    <row r="851">
      <c r="A851" t="inlineStr">
        <is>
          <t>0D5A</t>
        </is>
      </c>
      <c r="B851" t="inlineStr">
        <is>
          <t xml:space="preserve">MALAYALAM FRACTION THREE EIGHTIETHS </t>
        </is>
      </c>
      <c r="C851">
        <f> muunnukaani</f>
        <v/>
      </c>
      <c r="D851" t="inlineStr"/>
    </row>
    <row r="852">
      <c r="A852" t="inlineStr">
        <is>
          <t>0D5B</t>
        </is>
      </c>
      <c r="B852" t="inlineStr">
        <is>
          <t xml:space="preserve">MALAYALAM FRACTION ONE TWENTIETH </t>
        </is>
      </c>
      <c r="C852">
        <f> orumaa</f>
        <v/>
      </c>
      <c r="D852" t="inlineStr"/>
    </row>
    <row r="853">
      <c r="A853" t="inlineStr">
        <is>
          <t>0D5C</t>
        </is>
      </c>
      <c r="B853" t="inlineStr">
        <is>
          <t xml:space="preserve">MALAYALAM FRACTION ONE TENTH </t>
        </is>
      </c>
      <c r="C853">
        <f> rantumaa</f>
        <v/>
      </c>
      <c r="D853" t="inlineStr"/>
    </row>
    <row r="854">
      <c r="A854" t="inlineStr">
        <is>
          <t>0D5D</t>
        </is>
      </c>
      <c r="B854" t="inlineStr">
        <is>
          <t xml:space="preserve">MALAYALAM FRACTION THREE TWENTIETHS </t>
        </is>
      </c>
      <c r="C854">
        <f> muunnumaa</f>
        <v/>
      </c>
      <c r="D854" t="inlineStr"/>
    </row>
    <row r="855">
      <c r="A855" t="inlineStr">
        <is>
          <t>0D5E</t>
        </is>
      </c>
      <c r="B855" t="inlineStr">
        <is>
          <t xml:space="preserve">MALAYALAM FRACTION ONE FIFTH </t>
        </is>
      </c>
      <c r="C855">
        <f> naalumaa</f>
        <v/>
      </c>
      <c r="D855" t="inlineStr"/>
    </row>
    <row r="856">
      <c r="A856" t="inlineStr">
        <is>
          <t>0D5F</t>
        </is>
      </c>
      <c r="B856" t="inlineStr">
        <is>
          <t>MALAYALAM LETTER ARCHAIC II</t>
        </is>
      </c>
      <c r="C856" t="inlineStr"/>
      <c r="D856" t="inlineStr"/>
    </row>
    <row r="857">
      <c r="A857" t="inlineStr">
        <is>
          <t>0D60</t>
        </is>
      </c>
      <c r="B857" t="inlineStr">
        <is>
          <t>MALAYALAM LETTER VOCALIC RR</t>
        </is>
      </c>
      <c r="C857" t="inlineStr"/>
      <c r="D857" t="inlineStr"/>
    </row>
    <row r="858">
      <c r="A858" t="inlineStr">
        <is>
          <t>0D61</t>
        </is>
      </c>
      <c r="B858" t="inlineStr">
        <is>
          <t>MALAYALAM LETTER VOCALIC LL</t>
        </is>
      </c>
      <c r="C858" t="inlineStr"/>
      <c r="D858" t="inlineStr"/>
    </row>
    <row r="859">
      <c r="A859" t="inlineStr">
        <is>
          <t>0D62</t>
        </is>
      </c>
      <c r="B859" t="inlineStr">
        <is>
          <t>MALAYALAM VOWEL SIGN VOCALIC L</t>
        </is>
      </c>
      <c r="C859" t="inlineStr"/>
      <c r="D859" t="inlineStr"/>
    </row>
    <row r="860">
      <c r="A860" t="inlineStr">
        <is>
          <t>0D63</t>
        </is>
      </c>
      <c r="B860" t="inlineStr">
        <is>
          <t>MALAYALAM VOWEL SIGN VOCALIC LL</t>
        </is>
      </c>
      <c r="C860" t="inlineStr"/>
      <c r="D860" t="inlineStr"/>
    </row>
    <row r="861">
      <c r="A861" t="inlineStr">
        <is>
          <t>0D64</t>
        </is>
      </c>
      <c r="B861" t="inlineStr">
        <is>
          <t xml:space="preserve">&lt;reserved&gt; </t>
        </is>
      </c>
      <c r="C861" t="inlineStr"/>
      <c r="D861" t="inlineStr">
        <is>
          <t>x (devanagari danda - 0964)</t>
        </is>
      </c>
    </row>
    <row r="862">
      <c r="A862" t="inlineStr">
        <is>
          <t>0D65</t>
        </is>
      </c>
      <c r="B862" t="inlineStr">
        <is>
          <t xml:space="preserve">&lt;reserved&gt; </t>
        </is>
      </c>
      <c r="C862" t="inlineStr"/>
      <c r="D862" t="inlineStr">
        <is>
          <t>x (devanagari double danda - 0965)</t>
        </is>
      </c>
    </row>
    <row r="863">
      <c r="A863" t="inlineStr">
        <is>
          <t>0D66</t>
        </is>
      </c>
      <c r="B863" t="inlineStr">
        <is>
          <t>MALAYALAM DIGIT ZERO</t>
        </is>
      </c>
      <c r="C863" t="inlineStr"/>
      <c r="D863" t="inlineStr"/>
    </row>
    <row r="864">
      <c r="A864" t="inlineStr">
        <is>
          <t>0D67</t>
        </is>
      </c>
      <c r="B864" t="inlineStr">
        <is>
          <t>MALAYALAM DIGIT ONE</t>
        </is>
      </c>
      <c r="C864" t="inlineStr"/>
      <c r="D864" t="inlineStr"/>
    </row>
    <row r="865">
      <c r="A865" t="inlineStr">
        <is>
          <t>0D68</t>
        </is>
      </c>
      <c r="B865" t="inlineStr">
        <is>
          <t>MALAYALAM DIGIT TWO</t>
        </is>
      </c>
      <c r="C865" t="inlineStr"/>
      <c r="D865" t="inlineStr"/>
    </row>
    <row r="866">
      <c r="A866" t="inlineStr">
        <is>
          <t>0D69</t>
        </is>
      </c>
      <c r="B866" t="inlineStr">
        <is>
          <t>MALAYALAM DIGIT THREE</t>
        </is>
      </c>
      <c r="C866" t="inlineStr"/>
      <c r="D866" t="inlineStr"/>
    </row>
    <row r="867">
      <c r="A867" t="inlineStr">
        <is>
          <t>0D6A</t>
        </is>
      </c>
      <c r="B867" t="inlineStr">
        <is>
          <t>MALAYALAM DIGIT FOUR</t>
        </is>
      </c>
      <c r="C867" t="inlineStr"/>
      <c r="D867" t="inlineStr"/>
    </row>
    <row r="868">
      <c r="A868" t="inlineStr">
        <is>
          <t>0D6B</t>
        </is>
      </c>
      <c r="B868" t="inlineStr">
        <is>
          <t>MALAYALAM DIGIT FIVE</t>
        </is>
      </c>
      <c r="C868" t="inlineStr"/>
      <c r="D868" t="inlineStr"/>
    </row>
    <row r="869">
      <c r="A869" t="inlineStr">
        <is>
          <t>0D6C</t>
        </is>
      </c>
      <c r="B869" t="inlineStr">
        <is>
          <t>MALAYALAM DIGIT SIX</t>
        </is>
      </c>
      <c r="C869" t="inlineStr"/>
      <c r="D869" t="inlineStr"/>
    </row>
    <row r="870">
      <c r="A870" t="inlineStr">
        <is>
          <t>0D6D</t>
        </is>
      </c>
      <c r="B870" t="inlineStr">
        <is>
          <t>MALAYALAM DIGIT SEVEN</t>
        </is>
      </c>
      <c r="C870" t="inlineStr"/>
      <c r="D870" t="inlineStr"/>
    </row>
    <row r="871">
      <c r="A871" t="inlineStr">
        <is>
          <t>0D6E</t>
        </is>
      </c>
      <c r="B871" t="inlineStr">
        <is>
          <t>MALAYALAM DIGIT EIGHT</t>
        </is>
      </c>
      <c r="C871" t="inlineStr"/>
      <c r="D871" t="inlineStr"/>
    </row>
    <row r="872">
      <c r="A872" t="inlineStr">
        <is>
          <t>0D6F</t>
        </is>
      </c>
      <c r="B872" t="inlineStr">
        <is>
          <t>MALAYALAM DIGIT NINE</t>
        </is>
      </c>
      <c r="C872" t="inlineStr"/>
      <c r="D872" t="inlineStr"/>
    </row>
    <row r="873">
      <c r="A873" t="inlineStr">
        <is>
          <t>0D70</t>
        </is>
      </c>
      <c r="B873" t="inlineStr">
        <is>
          <t>MALAYALAM NUMBER TEN</t>
        </is>
      </c>
      <c r="C873" t="inlineStr"/>
      <c r="D873" t="inlineStr"/>
    </row>
    <row r="874">
      <c r="A874" t="inlineStr">
        <is>
          <t>0D71</t>
        </is>
      </c>
      <c r="B874" t="inlineStr">
        <is>
          <t>MALAYALAM NUMBER ONE HUNDRED</t>
        </is>
      </c>
      <c r="C874" t="inlineStr"/>
      <c r="D874" t="inlineStr"/>
    </row>
    <row r="875">
      <c r="A875" t="inlineStr">
        <is>
          <t>0D72</t>
        </is>
      </c>
      <c r="B875" t="inlineStr">
        <is>
          <t>MALAYALAM NUMBER ONE THOUSAND</t>
        </is>
      </c>
      <c r="C875" t="inlineStr"/>
      <c r="D875" t="inlineStr"/>
    </row>
    <row r="876">
      <c r="A876" t="inlineStr">
        <is>
          <t>0D73</t>
        </is>
      </c>
      <c r="B876" t="inlineStr">
        <is>
          <t xml:space="preserve">MALAYALAM FRACTION ONE QUARTER </t>
        </is>
      </c>
      <c r="C876">
        <f> kaal</f>
        <v/>
      </c>
      <c r="D876" t="inlineStr">
        <is>
          <t>x (north indic fraction one quarter - A830)</t>
        </is>
      </c>
    </row>
    <row r="877">
      <c r="A877" t="inlineStr">
        <is>
          <t>0D74</t>
        </is>
      </c>
      <c r="B877" t="inlineStr">
        <is>
          <t xml:space="preserve">MALAYALAM FRACTION ONE HALF </t>
        </is>
      </c>
      <c r="C877">
        <f> ara</f>
        <v/>
      </c>
      <c r="D877" t="inlineStr">
        <is>
          <t>x (north indic fraction one half - A831)</t>
        </is>
      </c>
    </row>
    <row r="878">
      <c r="A878" t="inlineStr">
        <is>
          <t>0D75</t>
        </is>
      </c>
      <c r="B878" t="inlineStr">
        <is>
          <t xml:space="preserve">MALAYALAM FRACTION THREE QUARTERS </t>
        </is>
      </c>
      <c r="C878">
        <f> mukkaal</f>
        <v/>
      </c>
      <c r="D878" t="inlineStr">
        <is>
          <t>x (north indic fraction three quarters - A832)</t>
        </is>
      </c>
    </row>
    <row r="879">
      <c r="A879" t="inlineStr">
        <is>
          <t>0D76</t>
        </is>
      </c>
      <c r="B879" t="inlineStr">
        <is>
          <t xml:space="preserve">MALAYALAM FRACTION ONE SIXTEENTH </t>
        </is>
      </c>
      <c r="C879">
        <f> maakaani</f>
        <v/>
      </c>
      <c r="D879" t="inlineStr"/>
    </row>
    <row r="880">
      <c r="A880" t="inlineStr">
        <is>
          <t>0D77</t>
        </is>
      </c>
      <c r="B880" t="inlineStr">
        <is>
          <t xml:space="preserve">MALAYALAM FRACTION ONE EIGHTH </t>
        </is>
      </c>
      <c r="C880">
        <f> arakkaal</f>
        <v/>
      </c>
      <c r="D880" t="inlineStr"/>
    </row>
    <row r="881">
      <c r="A881" t="inlineStr">
        <is>
          <t>0D78</t>
        </is>
      </c>
      <c r="B881" t="inlineStr">
        <is>
          <t xml:space="preserve">MALAYALAM FRACTION THREE SIXTEENTHS </t>
        </is>
      </c>
      <c r="C881">
        <f> muntaani</f>
        <v/>
      </c>
      <c r="D881" t="inlineStr"/>
    </row>
    <row r="882">
      <c r="A882" t="inlineStr">
        <is>
          <t>0D79</t>
        </is>
      </c>
      <c r="B882" t="inlineStr">
        <is>
          <t>MALAYALAM DATE MARK</t>
        </is>
      </c>
      <c r="C882" t="inlineStr"/>
      <c r="D882" t="inlineStr"/>
    </row>
    <row r="883">
      <c r="A883" t="inlineStr">
        <is>
          <t>0D7A</t>
        </is>
      </c>
      <c r="B883" t="inlineStr">
        <is>
          <t>MALAYALAM LETTER CHILLU NN</t>
        </is>
      </c>
      <c r="C883" t="inlineStr"/>
      <c r="D883" t="inlineStr"/>
    </row>
    <row r="884">
      <c r="A884" t="inlineStr">
        <is>
          <t>0D7B</t>
        </is>
      </c>
      <c r="B884" t="inlineStr">
        <is>
          <t>MALAYALAM LETTER CHILLU N</t>
        </is>
      </c>
      <c r="C884" t="inlineStr"/>
      <c r="D884" t="inlineStr"/>
    </row>
    <row r="885">
      <c r="A885" t="inlineStr">
        <is>
          <t>0D7C</t>
        </is>
      </c>
      <c r="B885" t="inlineStr">
        <is>
          <t xml:space="preserve">MALAYALAM LETTER CHILLU RR </t>
        </is>
      </c>
      <c r="C885" t="inlineStr"/>
      <c r="D885" t="inlineStr"/>
    </row>
    <row r="886">
      <c r="A886" t="inlineStr">
        <is>
          <t>0D7D</t>
        </is>
      </c>
      <c r="B886" t="inlineStr">
        <is>
          <t xml:space="preserve">MALAYALAM LETTER CHILLU L </t>
        </is>
      </c>
      <c r="C886" t="inlineStr"/>
      <c r="D886" t="inlineStr"/>
    </row>
    <row r="887">
      <c r="A887" t="inlineStr">
        <is>
          <t>0D7E</t>
        </is>
      </c>
      <c r="B887" t="inlineStr">
        <is>
          <t>MALAYALAM LETTER CHILLU LL</t>
        </is>
      </c>
      <c r="C887" t="inlineStr"/>
      <c r="D887" t="inlineStr"/>
    </row>
    <row r="888">
      <c r="A888" t="inlineStr">
        <is>
          <t>0D7F</t>
        </is>
      </c>
      <c r="B888" t="inlineStr">
        <is>
          <t>MALAYALAM LETTER CHILLU K</t>
        </is>
      </c>
      <c r="C888" t="inlineStr"/>
      <c r="D888" t="inlineStr"/>
    </row>
    <row r="889">
      <c r="A889" t="inlineStr">
        <is>
          <t>0D81</t>
        </is>
      </c>
      <c r="B889" t="inlineStr">
        <is>
          <t xml:space="preserve">SINHALA SIGN CANDRABINDU </t>
        </is>
      </c>
      <c r="C889" t="inlineStr"/>
      <c r="D889" t="inlineStr"/>
    </row>
    <row r="890">
      <c r="A890" t="inlineStr">
        <is>
          <t>0D82</t>
        </is>
      </c>
      <c r="B890" t="inlineStr">
        <is>
          <t xml:space="preserve">SINHALA SIGN ANUSVARAYA </t>
        </is>
      </c>
      <c r="C890">
        <f> anusvara</f>
        <v/>
      </c>
      <c r="D890" t="inlineStr"/>
    </row>
    <row r="891">
      <c r="A891" t="inlineStr">
        <is>
          <t>0D83</t>
        </is>
      </c>
      <c r="B891" t="inlineStr">
        <is>
          <t xml:space="preserve">SINHALA SIGN VISARGAYA </t>
        </is>
      </c>
      <c r="C891">
        <f> visarga</f>
        <v/>
      </c>
      <c r="D891" t="inlineStr"/>
    </row>
    <row r="892">
      <c r="A892" t="inlineStr">
        <is>
          <t>0D85</t>
        </is>
      </c>
      <c r="B892" t="inlineStr">
        <is>
          <t xml:space="preserve">SINHALA LETTER AYANNA </t>
        </is>
      </c>
      <c r="C892">
        <f> sinhala letter a</f>
        <v/>
      </c>
      <c r="D892" t="inlineStr"/>
    </row>
    <row r="893">
      <c r="A893" t="inlineStr">
        <is>
          <t>0D86</t>
        </is>
      </c>
      <c r="B893" t="inlineStr">
        <is>
          <t xml:space="preserve">SINHALA LETTER AAYANNA </t>
        </is>
      </c>
      <c r="C893">
        <f> sinhala letter aa</f>
        <v/>
      </c>
      <c r="D893" t="inlineStr"/>
    </row>
    <row r="894">
      <c r="A894" t="inlineStr">
        <is>
          <t>0D87</t>
        </is>
      </c>
      <c r="B894" t="inlineStr">
        <is>
          <t xml:space="preserve">SINHALA LETTER AEYANNA </t>
        </is>
      </c>
      <c r="C894">
        <f> sinhala letter ae</f>
        <v/>
      </c>
      <c r="D894" t="inlineStr"/>
    </row>
    <row r="895">
      <c r="A895" t="inlineStr">
        <is>
          <t>0D88</t>
        </is>
      </c>
      <c r="B895" t="inlineStr">
        <is>
          <t xml:space="preserve">SINHALA LETTER AEEYANNA </t>
        </is>
      </c>
      <c r="C895">
        <f> sinhala letter aae</f>
        <v/>
      </c>
      <c r="D895" t="inlineStr"/>
    </row>
    <row r="896">
      <c r="A896" t="inlineStr">
        <is>
          <t>0D89</t>
        </is>
      </c>
      <c r="B896" t="inlineStr">
        <is>
          <t xml:space="preserve">SINHALA LETTER IYANNA </t>
        </is>
      </c>
      <c r="C896">
        <f> sinhala letter i</f>
        <v/>
      </c>
      <c r="D896" t="inlineStr"/>
    </row>
    <row r="897">
      <c r="A897" t="inlineStr">
        <is>
          <t>0D8A</t>
        </is>
      </c>
      <c r="B897" t="inlineStr">
        <is>
          <t xml:space="preserve">SINHALA LETTER IIYANNA </t>
        </is>
      </c>
      <c r="C897">
        <f> sinhala letter ii</f>
        <v/>
      </c>
      <c r="D897" t="inlineStr"/>
    </row>
    <row r="898">
      <c r="A898" t="inlineStr">
        <is>
          <t>0D8B</t>
        </is>
      </c>
      <c r="B898" t="inlineStr">
        <is>
          <t xml:space="preserve">SINHALA LETTER UYANNA </t>
        </is>
      </c>
      <c r="C898">
        <f> sinhala letter u</f>
        <v/>
      </c>
      <c r="D898" t="inlineStr"/>
    </row>
    <row r="899">
      <c r="A899" t="inlineStr">
        <is>
          <t>0D8C</t>
        </is>
      </c>
      <c r="B899" t="inlineStr">
        <is>
          <t xml:space="preserve">SINHALA LETTER UUYANNA </t>
        </is>
      </c>
      <c r="C899">
        <f> sinhala letter uu</f>
        <v/>
      </c>
      <c r="D899" t="inlineStr"/>
    </row>
    <row r="900">
      <c r="A900" t="inlineStr">
        <is>
          <t>0D8D</t>
        </is>
      </c>
      <c r="B900" t="inlineStr">
        <is>
          <t xml:space="preserve">SINHALA LETTER IRUYANNA </t>
        </is>
      </c>
      <c r="C900">
        <f> sinhala letter vocalic r</f>
        <v/>
      </c>
      <c r="D900" t="inlineStr"/>
    </row>
    <row r="901">
      <c r="A901" t="inlineStr">
        <is>
          <t>0D8E</t>
        </is>
      </c>
      <c r="B901" t="inlineStr">
        <is>
          <t xml:space="preserve">SINHALA LETTER IRUUYANNA </t>
        </is>
      </c>
      <c r="C901">
        <f> sinhala letter vocalic rr</f>
        <v/>
      </c>
      <c r="D901" t="inlineStr"/>
    </row>
    <row r="902">
      <c r="A902" t="inlineStr">
        <is>
          <t>0D8F</t>
        </is>
      </c>
      <c r="B902" t="inlineStr">
        <is>
          <t xml:space="preserve">SINHALA LETTER ILUYANNA </t>
        </is>
      </c>
      <c r="C902">
        <f> sinhala letter vocalic l</f>
        <v/>
      </c>
      <c r="D902" t="inlineStr"/>
    </row>
    <row r="903">
      <c r="A903" t="inlineStr">
        <is>
          <t>0D90</t>
        </is>
      </c>
      <c r="B903" t="inlineStr">
        <is>
          <t xml:space="preserve">SINHALA LETTER ILUUYANNA </t>
        </is>
      </c>
      <c r="C903">
        <f> sinhala letter vocalic ll</f>
        <v/>
      </c>
      <c r="D903" t="inlineStr"/>
    </row>
    <row r="904">
      <c r="A904" t="inlineStr">
        <is>
          <t>0D91</t>
        </is>
      </c>
      <c r="B904" t="inlineStr">
        <is>
          <t xml:space="preserve">SINHALA LETTER EYANNA </t>
        </is>
      </c>
      <c r="C904">
        <f> sinhala letter e</f>
        <v/>
      </c>
      <c r="D904" t="inlineStr"/>
    </row>
    <row r="905">
      <c r="A905" t="inlineStr">
        <is>
          <t>0D92</t>
        </is>
      </c>
      <c r="B905" t="inlineStr">
        <is>
          <t xml:space="preserve">SINHALA LETTER EEYANNA </t>
        </is>
      </c>
      <c r="C905">
        <f> sinhala letter ee</f>
        <v/>
      </c>
      <c r="D905" t="inlineStr"/>
    </row>
    <row r="906">
      <c r="A906" t="inlineStr">
        <is>
          <t>0D93</t>
        </is>
      </c>
      <c r="B906" t="inlineStr">
        <is>
          <t xml:space="preserve">SINHALA LETTER AIYANNA </t>
        </is>
      </c>
      <c r="C906">
        <f> sinhala letter ai</f>
        <v/>
      </c>
      <c r="D906" t="inlineStr"/>
    </row>
    <row r="907">
      <c r="A907" t="inlineStr">
        <is>
          <t>0D94</t>
        </is>
      </c>
      <c r="B907" t="inlineStr">
        <is>
          <t xml:space="preserve">SINHALA LETTER OYANNA </t>
        </is>
      </c>
      <c r="C907">
        <f> sinhala letter o</f>
        <v/>
      </c>
      <c r="D907" t="inlineStr"/>
    </row>
    <row r="908">
      <c r="A908" t="inlineStr">
        <is>
          <t>0D95</t>
        </is>
      </c>
      <c r="B908" t="inlineStr">
        <is>
          <t xml:space="preserve">SINHALA LETTER OOYANNA </t>
        </is>
      </c>
      <c r="C908">
        <f> sinhala letter oo</f>
        <v/>
      </c>
      <c r="D908" t="inlineStr"/>
    </row>
    <row r="909">
      <c r="A909" t="inlineStr">
        <is>
          <t>0D96</t>
        </is>
      </c>
      <c r="B909" t="inlineStr">
        <is>
          <t xml:space="preserve">SINHALA LETTER AUYANNA </t>
        </is>
      </c>
      <c r="C909">
        <f> sinhala letter au</f>
        <v/>
      </c>
      <c r="D909" t="inlineStr"/>
    </row>
    <row r="910">
      <c r="A910" t="inlineStr">
        <is>
          <t>0D9A</t>
        </is>
      </c>
      <c r="B910" t="inlineStr">
        <is>
          <t xml:space="preserve">SINHALA LETTER ALPAPRAANA KAYANNA </t>
        </is>
      </c>
      <c r="C910">
        <f> sinhala letter ka</f>
        <v/>
      </c>
      <c r="D910" t="inlineStr"/>
    </row>
    <row r="911">
      <c r="A911" t="inlineStr">
        <is>
          <t>0D9B</t>
        </is>
      </c>
      <c r="B911" t="inlineStr">
        <is>
          <t xml:space="preserve">SINHALA LETTER MAHAAPRAANA KAYANNA </t>
        </is>
      </c>
      <c r="C911">
        <f> sinhala letter kha</f>
        <v/>
      </c>
      <c r="D911" t="inlineStr"/>
    </row>
    <row r="912">
      <c r="A912" t="inlineStr">
        <is>
          <t>0D9C</t>
        </is>
      </c>
      <c r="B912" t="inlineStr">
        <is>
          <t xml:space="preserve">SINHALA LETTER ALPAPRAANA GAYANNA </t>
        </is>
      </c>
      <c r="C912">
        <f> sinhala letter ga</f>
        <v/>
      </c>
      <c r="D912" t="inlineStr"/>
    </row>
    <row r="913">
      <c r="A913" t="inlineStr">
        <is>
          <t>0D9D</t>
        </is>
      </c>
      <c r="B913" t="inlineStr">
        <is>
          <t xml:space="preserve">SINHALA LETTER MAHAAPRAANA GAYANNA </t>
        </is>
      </c>
      <c r="C913">
        <f> sinhala letter gha</f>
        <v/>
      </c>
      <c r="D913" t="inlineStr"/>
    </row>
    <row r="914">
      <c r="A914" t="inlineStr">
        <is>
          <t>0D9E</t>
        </is>
      </c>
      <c r="B914" t="inlineStr">
        <is>
          <t xml:space="preserve">SINHALA LETTER KANTAJA NAASIKYAYA </t>
        </is>
      </c>
      <c r="C914">
        <f> sinhala letter nga</f>
        <v/>
      </c>
      <c r="D914" t="inlineStr"/>
    </row>
    <row r="915">
      <c r="A915" t="inlineStr">
        <is>
          <t>0D9F</t>
        </is>
      </c>
      <c r="B915" t="inlineStr">
        <is>
          <t xml:space="preserve">SINHALA LETTER SANYAKA GAYANNA </t>
        </is>
      </c>
      <c r="C915">
        <f> sinhala letter nnga</f>
        <v/>
      </c>
      <c r="D915" t="inlineStr"/>
    </row>
    <row r="916">
      <c r="A916" t="inlineStr">
        <is>
          <t>0DA0</t>
        </is>
      </c>
      <c r="B916" t="inlineStr">
        <is>
          <t xml:space="preserve">SINHALA LETTER ALPAPRAANA CAYANNA </t>
        </is>
      </c>
      <c r="C916">
        <f> sinhala letter ca</f>
        <v/>
      </c>
      <c r="D916" t="inlineStr"/>
    </row>
    <row r="917">
      <c r="A917" t="inlineStr">
        <is>
          <t>0DA1</t>
        </is>
      </c>
      <c r="B917" t="inlineStr">
        <is>
          <t xml:space="preserve">SINHALA LETTER MAHAAPRAANA CAYANNA </t>
        </is>
      </c>
      <c r="C917">
        <f> sinhala letter cha</f>
        <v/>
      </c>
      <c r="D917" t="inlineStr"/>
    </row>
    <row r="918">
      <c r="A918" t="inlineStr">
        <is>
          <t>0DA2</t>
        </is>
      </c>
      <c r="B918" t="inlineStr">
        <is>
          <t xml:space="preserve">SINHALA LETTER ALPAPRAANA JAYANNA </t>
        </is>
      </c>
      <c r="C918">
        <f> sinhala letter ja</f>
        <v/>
      </c>
      <c r="D918" t="inlineStr"/>
    </row>
    <row r="919">
      <c r="A919" t="inlineStr">
        <is>
          <t>0DA3</t>
        </is>
      </c>
      <c r="B919" t="inlineStr">
        <is>
          <t xml:space="preserve">SINHALA LETTER MAHAAPRAANA JAYANNA </t>
        </is>
      </c>
      <c r="C919">
        <f> sinhala letter jha</f>
        <v/>
      </c>
      <c r="D919" t="inlineStr"/>
    </row>
    <row r="920">
      <c r="A920" t="inlineStr">
        <is>
          <t>0DA4</t>
        </is>
      </c>
      <c r="B920" t="inlineStr">
        <is>
          <t xml:space="preserve">SINHALA LETTER TAALUJA NAASIKYAYA </t>
        </is>
      </c>
      <c r="C920">
        <f> sinhala letter nya</f>
        <v/>
      </c>
      <c r="D920" t="inlineStr"/>
    </row>
    <row r="921">
      <c r="A921" t="inlineStr">
        <is>
          <t>0DA5</t>
        </is>
      </c>
      <c r="B921" t="inlineStr">
        <is>
          <t xml:space="preserve">SINHALA LETTER TAALUJA SANYOOGA NAAKSIKYAYA </t>
        </is>
      </c>
      <c r="C921">
        <f> sinhala letter jnya</f>
        <v/>
      </c>
      <c r="D921" t="inlineStr"/>
    </row>
    <row r="922">
      <c r="A922" t="inlineStr">
        <is>
          <t>0DA6</t>
        </is>
      </c>
      <c r="B922" t="inlineStr">
        <is>
          <t xml:space="preserve">SINHALA LETTER SANYAKA JAYANNA </t>
        </is>
      </c>
      <c r="C922">
        <f> sinhala letter nyja</f>
        <v/>
      </c>
      <c r="D922" t="inlineStr"/>
    </row>
    <row r="923">
      <c r="A923" t="inlineStr">
        <is>
          <t>0DA7</t>
        </is>
      </c>
      <c r="B923" t="inlineStr">
        <is>
          <t xml:space="preserve">SINHALA LETTER ALPAPRAANA TTAYANNA </t>
        </is>
      </c>
      <c r="C923">
        <f> sinhala letter tta</f>
        <v/>
      </c>
      <c r="D923" t="inlineStr"/>
    </row>
    <row r="924">
      <c r="A924" t="inlineStr">
        <is>
          <t>0DA8</t>
        </is>
      </c>
      <c r="B924" t="inlineStr">
        <is>
          <t xml:space="preserve">SINHALA LETTER MAHAAPRAANA TTAYANNA </t>
        </is>
      </c>
      <c r="C924">
        <f> sinhala letter ttha</f>
        <v/>
      </c>
      <c r="D924" t="inlineStr"/>
    </row>
    <row r="925">
      <c r="A925" t="inlineStr">
        <is>
          <t>0DA9</t>
        </is>
      </c>
      <c r="B925" t="inlineStr">
        <is>
          <t xml:space="preserve">SINHALA LETTER ALPAPRAANA DDAYANNA </t>
        </is>
      </c>
      <c r="C925">
        <f> sinhala letter dda</f>
        <v/>
      </c>
      <c r="D925" t="inlineStr"/>
    </row>
    <row r="926">
      <c r="A926" t="inlineStr">
        <is>
          <t>0DAA</t>
        </is>
      </c>
      <c r="B926" t="inlineStr">
        <is>
          <t xml:space="preserve">SINHALA LETTER MAHAAPRAANA DDAYANNA </t>
        </is>
      </c>
      <c r="C926">
        <f> sinhala letter ddha</f>
        <v/>
      </c>
      <c r="D926" t="inlineStr"/>
    </row>
    <row r="927">
      <c r="A927" t="inlineStr">
        <is>
          <t>0DAB</t>
        </is>
      </c>
      <c r="B927" t="inlineStr">
        <is>
          <t xml:space="preserve">SINHALA LETTER MUURDHAJA NAYANNA </t>
        </is>
      </c>
      <c r="C927">
        <f> sinhala letter nna</f>
        <v/>
      </c>
      <c r="D927" t="inlineStr"/>
    </row>
    <row r="928">
      <c r="A928" t="inlineStr">
        <is>
          <t>0DAC</t>
        </is>
      </c>
      <c r="B928" t="inlineStr">
        <is>
          <t xml:space="preserve">SINHALA LETTER SANYAKA DDAYANNA </t>
        </is>
      </c>
      <c r="C928">
        <f> sinhala letter nndda</f>
        <v/>
      </c>
      <c r="D928" t="inlineStr"/>
    </row>
    <row r="929">
      <c r="A929" t="inlineStr">
        <is>
          <t>0DAD</t>
        </is>
      </c>
      <c r="B929" t="inlineStr">
        <is>
          <t xml:space="preserve">SINHALA LETTER ALPAPRAANA TAYANNA </t>
        </is>
      </c>
      <c r="C929">
        <f> sinhala letter ta</f>
        <v/>
      </c>
      <c r="D929" t="inlineStr"/>
    </row>
    <row r="930">
      <c r="A930" t="inlineStr">
        <is>
          <t>0DAE</t>
        </is>
      </c>
      <c r="B930" t="inlineStr">
        <is>
          <t xml:space="preserve">SINHALA LETTER MAHAAPRAANA TAYANNA </t>
        </is>
      </c>
      <c r="C930">
        <f> sinhala letter tha</f>
        <v/>
      </c>
      <c r="D930" t="inlineStr"/>
    </row>
    <row r="931">
      <c r="A931" t="inlineStr">
        <is>
          <t>0DAF</t>
        </is>
      </c>
      <c r="B931" t="inlineStr">
        <is>
          <t xml:space="preserve">SINHALA LETTER ALPAPRAANA DAYANNA </t>
        </is>
      </c>
      <c r="C931">
        <f> sinhala letter da</f>
        <v/>
      </c>
      <c r="D931" t="inlineStr"/>
    </row>
    <row r="932">
      <c r="A932" t="inlineStr">
        <is>
          <t>0DB0</t>
        </is>
      </c>
      <c r="B932" t="inlineStr">
        <is>
          <t xml:space="preserve">SINHALA LETTER MAHAAPRAANA DAYANNA </t>
        </is>
      </c>
      <c r="C932">
        <f> sinhala letter dha</f>
        <v/>
      </c>
      <c r="D932" t="inlineStr"/>
    </row>
    <row r="933">
      <c r="A933" t="inlineStr">
        <is>
          <t>0DB1</t>
        </is>
      </c>
      <c r="B933" t="inlineStr">
        <is>
          <t xml:space="preserve">SINHALA LETTER DANTAJA NAYANNA </t>
        </is>
      </c>
      <c r="C933">
        <f> sinhala letter na</f>
        <v/>
      </c>
      <c r="D933" t="inlineStr"/>
    </row>
    <row r="934">
      <c r="A934" t="inlineStr">
        <is>
          <t>0DB3</t>
        </is>
      </c>
      <c r="B934" t="inlineStr">
        <is>
          <t xml:space="preserve">SINHALA LETTER SANYAKA DAYANNA </t>
        </is>
      </c>
      <c r="C934">
        <f> sinhala letter nda</f>
        <v/>
      </c>
      <c r="D934" t="inlineStr"/>
    </row>
    <row r="935">
      <c r="A935" t="inlineStr">
        <is>
          <t>0DB4</t>
        </is>
      </c>
      <c r="B935" t="inlineStr">
        <is>
          <t xml:space="preserve">SINHALA LETTER ALPAPRAANA PAYANNA </t>
        </is>
      </c>
      <c r="C935">
        <f> sinhala letter pa</f>
        <v/>
      </c>
      <c r="D935" t="inlineStr"/>
    </row>
    <row r="936">
      <c r="A936" t="inlineStr">
        <is>
          <t>0DB5</t>
        </is>
      </c>
      <c r="B936" t="inlineStr">
        <is>
          <t xml:space="preserve">SINHALA LETTER MAHAAPRAANA PAYANNA </t>
        </is>
      </c>
      <c r="C936">
        <f> sinhala letter pha</f>
        <v/>
      </c>
      <c r="D936" t="inlineStr"/>
    </row>
    <row r="937">
      <c r="A937" t="inlineStr">
        <is>
          <t>0DB6</t>
        </is>
      </c>
      <c r="B937" t="inlineStr">
        <is>
          <t xml:space="preserve">SINHALA LETTER ALPAPRAANA BAYANNA </t>
        </is>
      </c>
      <c r="C937">
        <f> sinhala letter ba</f>
        <v/>
      </c>
      <c r="D937" t="inlineStr"/>
    </row>
    <row r="938">
      <c r="A938" t="inlineStr">
        <is>
          <t>0DB7</t>
        </is>
      </c>
      <c r="B938" t="inlineStr">
        <is>
          <t xml:space="preserve">SINHALA LETTER MAHAAPRAANA BAYANNA </t>
        </is>
      </c>
      <c r="C938">
        <f> sinhala letter bha</f>
        <v/>
      </c>
      <c r="D938" t="inlineStr"/>
    </row>
    <row r="939">
      <c r="A939" t="inlineStr">
        <is>
          <t>0DB8</t>
        </is>
      </c>
      <c r="B939" t="inlineStr">
        <is>
          <t xml:space="preserve">SINHALA LETTER MAYANNA </t>
        </is>
      </c>
      <c r="C939">
        <f> sinhala letter ma</f>
        <v/>
      </c>
      <c r="D939" t="inlineStr"/>
    </row>
    <row r="940">
      <c r="A940" t="inlineStr">
        <is>
          <t>0DB9</t>
        </is>
      </c>
      <c r="B940" t="inlineStr">
        <is>
          <t xml:space="preserve">SINHALA LETTER AMBA BAYANNA </t>
        </is>
      </c>
      <c r="C940">
        <f> sinhala letter mba</f>
        <v/>
      </c>
      <c r="D940" t="inlineStr"/>
    </row>
    <row r="941">
      <c r="A941" t="inlineStr">
        <is>
          <t>0DBA</t>
        </is>
      </c>
      <c r="B941" t="inlineStr">
        <is>
          <t xml:space="preserve">SINHALA LETTER YAYANNA </t>
        </is>
      </c>
      <c r="C941">
        <f> sinhala letter ya</f>
        <v/>
      </c>
      <c r="D941" t="inlineStr"/>
    </row>
    <row r="942">
      <c r="A942" t="inlineStr">
        <is>
          <t>0DBB</t>
        </is>
      </c>
      <c r="B942" t="inlineStr">
        <is>
          <t xml:space="preserve">SINHALA LETTER RAYANNA </t>
        </is>
      </c>
      <c r="C942">
        <f> sinhala letter ra</f>
        <v/>
      </c>
      <c r="D942" t="inlineStr"/>
    </row>
    <row r="943">
      <c r="A943" t="inlineStr">
        <is>
          <t>0DBD</t>
        </is>
      </c>
      <c r="B943" t="inlineStr">
        <is>
          <t xml:space="preserve">SINHALA LETTER DANTAJA LAYANNA </t>
        </is>
      </c>
      <c r="C943">
        <f> sinhala letter la</f>
        <v/>
      </c>
      <c r="D943" t="inlineStr"/>
    </row>
    <row r="944">
      <c r="A944" t="inlineStr">
        <is>
          <t>0DC0</t>
        </is>
      </c>
      <c r="B944" t="inlineStr">
        <is>
          <t xml:space="preserve">SINHALA LETTER VAYANNA </t>
        </is>
      </c>
      <c r="C944">
        <f> sinhala letter va</f>
        <v/>
      </c>
      <c r="D944" t="inlineStr"/>
    </row>
    <row r="945">
      <c r="A945" t="inlineStr">
        <is>
          <t>0DC1</t>
        </is>
      </c>
      <c r="B945" t="inlineStr">
        <is>
          <t xml:space="preserve">SINHALA LETTER TAALUJA SAYANNA </t>
        </is>
      </c>
      <c r="C945">
        <f> sinhala letter sha</f>
        <v/>
      </c>
      <c r="D945" t="inlineStr"/>
    </row>
    <row r="946">
      <c r="A946" t="inlineStr">
        <is>
          <t>0DC2</t>
        </is>
      </c>
      <c r="B946" t="inlineStr">
        <is>
          <t xml:space="preserve">SINHALA LETTER MUURDHAJA SAYANNA </t>
        </is>
      </c>
      <c r="C946">
        <f> sinhala letter ssa</f>
        <v/>
      </c>
      <c r="D946" t="inlineStr"/>
    </row>
    <row r="947">
      <c r="A947" t="inlineStr">
        <is>
          <t>0DC3</t>
        </is>
      </c>
      <c r="B947" t="inlineStr">
        <is>
          <t xml:space="preserve">SINHALA LETTER DANTAJA SAYANNA </t>
        </is>
      </c>
      <c r="C947">
        <f> sinhala letter sa</f>
        <v/>
      </c>
      <c r="D947" t="inlineStr"/>
    </row>
    <row r="948">
      <c r="A948" t="inlineStr">
        <is>
          <t>0DC4</t>
        </is>
      </c>
      <c r="B948" t="inlineStr">
        <is>
          <t xml:space="preserve">SINHALA LETTER HAYANNA </t>
        </is>
      </c>
      <c r="C948">
        <f> sinhala letter ha</f>
        <v/>
      </c>
      <c r="D948" t="inlineStr"/>
    </row>
    <row r="949">
      <c r="A949" t="inlineStr">
        <is>
          <t>0DC5</t>
        </is>
      </c>
      <c r="B949" t="inlineStr">
        <is>
          <t xml:space="preserve">SINHALA LETTER MUURDHAJA LAYANNA </t>
        </is>
      </c>
      <c r="C949">
        <f> sinhala letter lla</f>
        <v/>
      </c>
      <c r="D949" t="inlineStr"/>
    </row>
    <row r="950">
      <c r="A950" t="inlineStr">
        <is>
          <t>0DC6</t>
        </is>
      </c>
      <c r="B950" t="inlineStr">
        <is>
          <t xml:space="preserve">SINHALA LETTER FAYANNA </t>
        </is>
      </c>
      <c r="C950">
        <f> sinhala letter fa</f>
        <v/>
      </c>
      <c r="D950" t="inlineStr"/>
    </row>
    <row r="951">
      <c r="A951" t="inlineStr">
        <is>
          <t>0DCA</t>
        </is>
      </c>
      <c r="B951" t="inlineStr">
        <is>
          <t xml:space="preserve">SINHALA SIGN AL-LAKUNA </t>
        </is>
      </c>
      <c r="C951">
        <f> virama</f>
        <v/>
      </c>
      <c r="D951" t="inlineStr"/>
    </row>
    <row r="952">
      <c r="A952" t="inlineStr">
        <is>
          <t>0DCF</t>
        </is>
      </c>
      <c r="B952" t="inlineStr">
        <is>
          <t xml:space="preserve">SINHALA VOWEL SIGN AELA-PILLA </t>
        </is>
      </c>
      <c r="C952">
        <f> sinhala vowel sign aa</f>
        <v/>
      </c>
      <c r="D952" t="inlineStr"/>
    </row>
    <row r="953">
      <c r="A953" t="inlineStr">
        <is>
          <t>0DD0</t>
        </is>
      </c>
      <c r="B953" t="inlineStr">
        <is>
          <t xml:space="preserve">SINHALA VOWEL SIGN KETTI AEDA-PILLA </t>
        </is>
      </c>
      <c r="C953">
        <f> sinhala vowel sign ae</f>
        <v/>
      </c>
      <c r="D953" t="inlineStr"/>
    </row>
    <row r="954">
      <c r="A954" t="inlineStr">
        <is>
          <t>0DD1</t>
        </is>
      </c>
      <c r="B954" t="inlineStr">
        <is>
          <t xml:space="preserve">SINHALA VOWEL SIGN DIGA AEDA-PILLA </t>
        </is>
      </c>
      <c r="C954">
        <f> sinhala vowel sign aae</f>
        <v/>
      </c>
      <c r="D954" t="inlineStr"/>
    </row>
    <row r="955">
      <c r="A955" t="inlineStr">
        <is>
          <t>0DD2</t>
        </is>
      </c>
      <c r="B955" t="inlineStr">
        <is>
          <t xml:space="preserve">SINHALA VOWEL SIGN KETTI IS-PILLA </t>
        </is>
      </c>
      <c r="C955">
        <f> sinhala vowel sign i</f>
        <v/>
      </c>
      <c r="D955" t="inlineStr"/>
    </row>
    <row r="956">
      <c r="A956" t="inlineStr">
        <is>
          <t>0DD3</t>
        </is>
      </c>
      <c r="B956" t="inlineStr">
        <is>
          <t xml:space="preserve">SINHALA VOWEL SIGN DIGA IS-PILLA </t>
        </is>
      </c>
      <c r="C956">
        <f> sinhala vowel sign ii</f>
        <v/>
      </c>
      <c r="D956" t="inlineStr"/>
    </row>
    <row r="957">
      <c r="A957" t="inlineStr">
        <is>
          <t>0DD4</t>
        </is>
      </c>
      <c r="B957" t="inlineStr">
        <is>
          <t xml:space="preserve">SINHALA VOWEL SIGN KETTI PAA-PILLA </t>
        </is>
      </c>
      <c r="C957">
        <f> sinhala vowel sign u</f>
        <v/>
      </c>
      <c r="D957" t="inlineStr"/>
    </row>
    <row r="958">
      <c r="A958" t="inlineStr">
        <is>
          <t>0DD6</t>
        </is>
      </c>
      <c r="B958" t="inlineStr">
        <is>
          <t xml:space="preserve">SINHALA VOWEL SIGN DIGA PAA-PILLA </t>
        </is>
      </c>
      <c r="C958">
        <f> sinhala vowel sign uu</f>
        <v/>
      </c>
      <c r="D958" t="inlineStr"/>
    </row>
    <row r="959">
      <c r="A959" t="inlineStr">
        <is>
          <t>0DD8</t>
        </is>
      </c>
      <c r="B959" t="inlineStr">
        <is>
          <t xml:space="preserve">SINHALA VOWEL SIGN GAETTA-PILLA </t>
        </is>
      </c>
      <c r="C959">
        <f> sinhala vowel sign vocalic r</f>
        <v/>
      </c>
      <c r="D959" t="inlineStr"/>
    </row>
    <row r="960">
      <c r="A960" t="inlineStr">
        <is>
          <t>0DD9</t>
        </is>
      </c>
      <c r="B960" t="inlineStr">
        <is>
          <t xml:space="preserve">SINHALA VOWEL SIGN KOMBUVA </t>
        </is>
      </c>
      <c r="C960">
        <f> sinhala vowel sign e</f>
        <v/>
      </c>
      <c r="D960" t="inlineStr"/>
    </row>
    <row r="961">
      <c r="A961" t="inlineStr">
        <is>
          <t>0DDA</t>
        </is>
      </c>
      <c r="B961" t="inlineStr">
        <is>
          <t xml:space="preserve">SINHALA VOWEL SIGN DIGA KOMBUVA </t>
        </is>
      </c>
      <c r="C961">
        <f> sinhala vowel sign ee</f>
        <v/>
      </c>
      <c r="D961" t="inlineStr"/>
    </row>
    <row r="962">
      <c r="A962" t="inlineStr">
        <is>
          <t>0DDB</t>
        </is>
      </c>
      <c r="B962" t="inlineStr">
        <is>
          <t xml:space="preserve">SINHALA VOWEL SIGN KOMBU DEKA </t>
        </is>
      </c>
      <c r="C962">
        <f> sinhala vowel sign ai</f>
        <v/>
      </c>
      <c r="D962" t="inlineStr"/>
    </row>
    <row r="963">
      <c r="A963" t="inlineStr">
        <is>
          <t>0DDC</t>
        </is>
      </c>
      <c r="B963" t="inlineStr">
        <is>
          <t xml:space="preserve">SINHALA VOWEL SIGN KOMBUVA HAA AELA-PILLA </t>
        </is>
      </c>
      <c r="C963">
        <f> sinhala vowel sign o</f>
        <v/>
      </c>
      <c r="D963" t="inlineStr"/>
    </row>
    <row r="964">
      <c r="A964" t="inlineStr">
        <is>
          <t>0DDD</t>
        </is>
      </c>
      <c r="B964" t="inlineStr">
        <is>
          <t xml:space="preserve">SINHALA VOWEL SIGN KOMBUVA HAA DIGA AELA-PILLA </t>
        </is>
      </c>
      <c r="C964">
        <f> sinhala vowel sign oo</f>
        <v/>
      </c>
      <c r="D964" t="inlineStr"/>
    </row>
    <row r="965">
      <c r="A965" t="inlineStr">
        <is>
          <t>0DDE</t>
        </is>
      </c>
      <c r="B965" t="inlineStr">
        <is>
          <t xml:space="preserve">SINHALA VOWEL SIGN KOMBUVA HAA GAYANUKITTA </t>
        </is>
      </c>
      <c r="C965">
        <f> sinhala vowel sign au</f>
        <v/>
      </c>
      <c r="D965" t="inlineStr"/>
    </row>
    <row r="966">
      <c r="A966" t="inlineStr">
        <is>
          <t>0DDF</t>
        </is>
      </c>
      <c r="B966" t="inlineStr">
        <is>
          <t xml:space="preserve">SINHALA VOWEL SIGN GAYANUKITTA </t>
        </is>
      </c>
      <c r="C966">
        <f> sinhala vowel sign vocalic l</f>
        <v/>
      </c>
      <c r="D966" t="inlineStr"/>
    </row>
    <row r="967">
      <c r="A967" t="inlineStr">
        <is>
          <t>0DE6 ZERO</t>
        </is>
      </c>
      <c r="B967" t="inlineStr"/>
      <c r="C967" t="inlineStr"/>
      <c r="D967" t="inlineStr"/>
    </row>
    <row r="968">
      <c r="A968" t="inlineStr">
        <is>
          <t>0DE7 ONE</t>
        </is>
      </c>
      <c r="B968" t="inlineStr"/>
      <c r="C968" t="inlineStr"/>
      <c r="D968" t="inlineStr"/>
    </row>
    <row r="969">
      <c r="A969" t="inlineStr">
        <is>
          <t>0DE8 TWO</t>
        </is>
      </c>
      <c r="B969" t="inlineStr"/>
      <c r="C969" t="inlineStr"/>
      <c r="D969" t="inlineStr"/>
    </row>
    <row r="970">
      <c r="A970" t="inlineStr">
        <is>
          <t>0DE9 THREE</t>
        </is>
      </c>
      <c r="B970" t="inlineStr"/>
      <c r="C970" t="inlineStr"/>
      <c r="D970" t="inlineStr"/>
    </row>
    <row r="971">
      <c r="A971" t="inlineStr">
        <is>
          <t>0DEA FOUR</t>
        </is>
      </c>
      <c r="B971" t="inlineStr"/>
      <c r="C971" t="inlineStr"/>
      <c r="D971" t="inlineStr"/>
    </row>
    <row r="972">
      <c r="A972" t="inlineStr">
        <is>
          <t>0DEB FIVE</t>
        </is>
      </c>
      <c r="B972" t="inlineStr"/>
      <c r="C972" t="inlineStr"/>
      <c r="D972" t="inlineStr"/>
    </row>
    <row r="973">
      <c r="A973" t="inlineStr">
        <is>
          <t>0DEC SIX</t>
        </is>
      </c>
      <c r="B973" t="inlineStr"/>
      <c r="C973" t="inlineStr"/>
      <c r="D973" t="inlineStr"/>
    </row>
    <row r="974">
      <c r="A974" t="inlineStr">
        <is>
          <t>0DED SEVEN</t>
        </is>
      </c>
      <c r="B974" t="inlineStr"/>
      <c r="C974" t="inlineStr"/>
      <c r="D974" t="inlineStr"/>
    </row>
    <row r="975">
      <c r="A975" t="inlineStr">
        <is>
          <t>0DEE EIGHT</t>
        </is>
      </c>
      <c r="B975" t="inlineStr"/>
      <c r="C975" t="inlineStr"/>
      <c r="D975" t="inlineStr"/>
    </row>
    <row r="976">
      <c r="A976" t="inlineStr">
        <is>
          <t>0DEF NINE</t>
        </is>
      </c>
      <c r="B976" t="inlineStr"/>
      <c r="C976" t="inlineStr"/>
      <c r="D976" t="inlineStr"/>
    </row>
    <row r="977">
      <c r="A977" t="inlineStr">
        <is>
          <t>0DF2</t>
        </is>
      </c>
      <c r="B977" t="inlineStr">
        <is>
          <t xml:space="preserve">SINHALA VOWEL SIGN DIGA GAETTA-PILLA </t>
        </is>
      </c>
      <c r="C977">
        <f> sinhala vowel sign vocalic rr</f>
        <v/>
      </c>
      <c r="D977" t="inlineStr"/>
    </row>
    <row r="978">
      <c r="A978" t="inlineStr">
        <is>
          <t>0DF3</t>
        </is>
      </c>
      <c r="B978" t="inlineStr">
        <is>
          <t xml:space="preserve">SINHALA VOWEL SIGN DIGA GAYANUKITTA </t>
        </is>
      </c>
      <c r="C978">
        <f> sinhala vowel sign vocalic ll</f>
        <v/>
      </c>
      <c r="D978" t="inlineStr"/>
    </row>
    <row r="979">
      <c r="A979" t="inlineStr">
        <is>
          <t>0DF4</t>
        </is>
      </c>
      <c r="B979" t="inlineStr">
        <is>
          <t xml:space="preserve">SINHALA PUNCTUATION KUNDDALIYA </t>
        </is>
      </c>
      <c r="C979" t="inlineStr"/>
      <c r="D979" t="inlineStr">
        <is>
          <t>x (tamil punctuation end of text - 11FFF)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0900-candrabindu</t>
        </is>
      </c>
    </row>
    <row r="3">
      <c r="A3" t="inlineStr">
        <is>
          <t>0901-anunasika</t>
        </is>
      </c>
    </row>
    <row r="4">
      <c r="A4" t="inlineStr">
        <is>
          <t>0902-bindu</t>
        </is>
      </c>
    </row>
    <row r="5">
      <c r="A5" t="inlineStr">
        <is>
          <t>0903-visarga</t>
        </is>
      </c>
    </row>
    <row r="6">
      <c r="A6" t="inlineStr">
        <is>
          <t>0904-e #SHORT A</t>
        </is>
      </c>
    </row>
    <row r="7">
      <c r="A7" t="inlineStr">
        <is>
          <t>0905-A</t>
        </is>
      </c>
    </row>
    <row r="8">
      <c r="A8" t="inlineStr">
        <is>
          <t>0906-a</t>
        </is>
      </c>
    </row>
    <row r="9">
      <c r="A9" t="inlineStr">
        <is>
          <t>0907-i</t>
        </is>
      </c>
    </row>
    <row r="10">
      <c r="A10" t="inlineStr">
        <is>
          <t>0908-i</t>
        </is>
      </c>
    </row>
    <row r="11">
      <c r="A11" t="inlineStr">
        <is>
          <t>0909-u</t>
        </is>
      </c>
    </row>
    <row r="12">
      <c r="A12" t="inlineStr">
        <is>
          <t>090A-u</t>
        </is>
      </c>
    </row>
    <row r="13">
      <c r="A13" t="inlineStr">
        <is>
          <t>090B-r</t>
        </is>
      </c>
    </row>
    <row r="14">
      <c r="A14" t="inlineStr">
        <is>
          <t>090C-l</t>
        </is>
      </c>
    </row>
    <row r="15">
      <c r="A15" t="inlineStr">
        <is>
          <t>090D-e</t>
        </is>
      </c>
    </row>
    <row r="16">
      <c r="A16" t="inlineStr">
        <is>
          <t>090E-e</t>
        </is>
      </c>
    </row>
    <row r="17">
      <c r="A17" t="inlineStr">
        <is>
          <t>090F-e</t>
        </is>
      </c>
    </row>
    <row r="18">
      <c r="A18" t="inlineStr">
        <is>
          <t>0910-ai</t>
        </is>
      </c>
    </row>
    <row r="19">
      <c r="A19" t="inlineStr">
        <is>
          <t>0911-o</t>
        </is>
      </c>
    </row>
    <row r="20">
      <c r="A20" t="inlineStr">
        <is>
          <t>0912-o</t>
        </is>
      </c>
    </row>
    <row r="21">
      <c r="A21" t="inlineStr">
        <is>
          <t>0913-o</t>
        </is>
      </c>
    </row>
    <row r="22">
      <c r="A22" t="inlineStr">
        <is>
          <t>0914-au</t>
        </is>
      </c>
    </row>
    <row r="23">
      <c r="A23" t="inlineStr">
        <is>
          <t>0915-k</t>
        </is>
      </c>
    </row>
    <row r="24">
      <c r="A24" t="inlineStr">
        <is>
          <t>0916-K</t>
        </is>
      </c>
    </row>
    <row r="25">
      <c r="A25" t="inlineStr">
        <is>
          <t>0917-ga</t>
        </is>
      </c>
    </row>
    <row r="26">
      <c r="A26" t="inlineStr">
        <is>
          <t>0918-gha</t>
        </is>
      </c>
    </row>
    <row r="27">
      <c r="A27" t="inlineStr">
        <is>
          <t>0919-nga</t>
        </is>
      </c>
    </row>
    <row r="28">
      <c r="A28" t="inlineStr">
        <is>
          <t>091A-ca</t>
        </is>
      </c>
    </row>
    <row r="29">
      <c r="A29" t="inlineStr">
        <is>
          <t>091B-C#C=ch</t>
        </is>
      </c>
    </row>
    <row r="30">
      <c r="A30" t="inlineStr">
        <is>
          <t>091C-z</t>
        </is>
      </c>
    </row>
    <row r="31">
      <c r="A31" t="inlineStr">
        <is>
          <t>091D-Z#Z=zh</t>
        </is>
      </c>
    </row>
    <row r="32">
      <c r="A32" t="inlineStr">
        <is>
          <t>091E-n</t>
        </is>
      </c>
    </row>
    <row r="33">
      <c r="A33" t="inlineStr">
        <is>
          <t>091F-t</t>
        </is>
      </c>
    </row>
    <row r="34">
      <c r="A34" t="inlineStr">
        <is>
          <t>0920-J</t>
        </is>
      </c>
    </row>
    <row r="35">
      <c r="A35" t="inlineStr">
        <is>
          <t>0921-d</t>
        </is>
      </c>
    </row>
    <row r="36">
      <c r="A36" t="inlineStr">
        <is>
          <t>0922-Q</t>
        </is>
      </c>
    </row>
    <row r="37">
      <c r="A37" t="inlineStr">
        <is>
          <t>0923-n</t>
        </is>
      </c>
    </row>
    <row r="38">
      <c r="A38" t="inlineStr">
        <is>
          <t>0924-T</t>
        </is>
      </c>
    </row>
    <row r="39">
      <c r="A39" t="inlineStr">
        <is>
          <t>0925-j</t>
        </is>
      </c>
    </row>
    <row r="40">
      <c r="A40" t="inlineStr">
        <is>
          <t>0926-D#Dwai</t>
        </is>
      </c>
    </row>
    <row r="41">
      <c r="A41" t="inlineStr">
        <is>
          <t>0927-q#q=Dh#qnush</t>
        </is>
      </c>
    </row>
    <row r="42">
      <c r="A42" t="inlineStr">
        <is>
          <t>0928-n</t>
        </is>
      </c>
    </row>
    <row r="43">
      <c r="A43" t="inlineStr">
        <is>
          <t>0929-n</t>
        </is>
      </c>
    </row>
    <row r="44">
      <c r="A44" t="inlineStr">
        <is>
          <t>092A-p</t>
        </is>
      </c>
    </row>
    <row r="45">
      <c r="A45" t="inlineStr">
        <is>
          <t>092B-f</t>
        </is>
      </c>
    </row>
    <row r="46">
      <c r="A46" t="inlineStr">
        <is>
          <t>092C-b</t>
        </is>
      </c>
    </row>
    <row r="47">
      <c r="A47" t="inlineStr">
        <is>
          <t>092D-B#B=bh</t>
        </is>
      </c>
    </row>
    <row r="48">
      <c r="A48" t="inlineStr">
        <is>
          <t>092E-m</t>
        </is>
      </c>
    </row>
    <row r="49">
      <c r="A49" t="inlineStr">
        <is>
          <t>092F-y</t>
        </is>
      </c>
    </row>
    <row r="50">
      <c r="A50" t="inlineStr">
        <is>
          <t>0930-r</t>
        </is>
      </c>
    </row>
    <row r="51">
      <c r="A51" t="inlineStr">
        <is>
          <t>0931-R#R=rr=dh</t>
        </is>
      </c>
    </row>
    <row r="52">
      <c r="A52" t="inlineStr">
        <is>
          <t>0932-l</t>
        </is>
      </c>
    </row>
    <row r="53">
      <c r="A53" t="inlineStr">
        <is>
          <t>0933-l</t>
        </is>
      </c>
    </row>
    <row r="54">
      <c r="A54" t="inlineStr">
        <is>
          <t>0934-l</t>
        </is>
      </c>
    </row>
    <row r="55">
      <c r="A55" t="inlineStr">
        <is>
          <t>0935-w</t>
        </is>
      </c>
    </row>
    <row r="56">
      <c r="A56" t="inlineStr">
        <is>
          <t>0936-S#S=sh</t>
        </is>
      </c>
    </row>
    <row r="57">
      <c r="A57" t="inlineStr">
        <is>
          <t>0937-s</t>
        </is>
      </c>
    </row>
    <row r="58">
      <c r="A58" t="inlineStr">
        <is>
          <t>0938-s</t>
        </is>
      </c>
    </row>
    <row r="59">
      <c r="A59" t="inlineStr">
        <is>
          <t>0939-H#zHaz#zhag#khana#kHani</t>
        </is>
      </c>
    </row>
    <row r="60">
      <c r="A60" t="inlineStr">
        <is>
          <t>093A-OE</t>
        </is>
      </c>
    </row>
    <row r="61">
      <c r="A61" t="inlineStr">
        <is>
          <t>093B-OOE</t>
        </is>
      </c>
    </row>
    <row r="62">
      <c r="A62" t="inlineStr">
        <is>
          <t>093C-nukta</t>
        </is>
      </c>
    </row>
    <row r="63">
      <c r="A63" t="inlineStr">
        <is>
          <t>093D-avagraha</t>
        </is>
      </c>
    </row>
    <row r="64">
      <c r="A64" t="inlineStr">
        <is>
          <t>093E-AA</t>
        </is>
      </c>
    </row>
    <row r="65">
      <c r="A65" t="inlineStr">
        <is>
          <t>093F-I</t>
        </is>
      </c>
    </row>
    <row r="66">
      <c r="A66" t="inlineStr">
        <is>
          <t>0940-II</t>
        </is>
      </c>
    </row>
    <row r="67">
      <c r="A67" t="inlineStr">
        <is>
          <t>0941-U</t>
        </is>
      </c>
    </row>
    <row r="68">
      <c r="A68" t="inlineStr">
        <is>
          <t>0942-UU</t>
        </is>
      </c>
    </row>
    <row r="69">
      <c r="A69" t="inlineStr">
        <is>
          <t>0943-R</t>
        </is>
      </c>
    </row>
    <row r="70">
      <c r="A70" t="inlineStr">
        <is>
          <t>0944-RR</t>
        </is>
      </c>
    </row>
    <row r="71">
      <c r="A71" t="inlineStr">
        <is>
          <t>0945-candra</t>
        </is>
      </c>
    </row>
    <row r="72">
      <c r="A72" t="inlineStr">
        <is>
          <t>0946-SHORT E</t>
        </is>
      </c>
    </row>
    <row r="73">
      <c r="A73" t="inlineStr">
        <is>
          <t>0947-E</t>
        </is>
      </c>
    </row>
    <row r="74">
      <c r="A74" t="inlineStr">
        <is>
          <t>0948-AI</t>
        </is>
      </c>
    </row>
    <row r="75">
      <c r="A75" t="inlineStr">
        <is>
          <t>0949-CANDRA O</t>
        </is>
      </c>
    </row>
    <row r="76">
      <c r="A76" t="inlineStr">
        <is>
          <t>094A-SHORT O</t>
        </is>
      </c>
    </row>
    <row r="77">
      <c r="A77" t="inlineStr">
        <is>
          <t>094B-O</t>
        </is>
      </c>
    </row>
    <row r="78">
      <c r="A78" t="inlineStr">
        <is>
          <t>094C-AU</t>
        </is>
      </c>
    </row>
    <row r="79">
      <c r="A79" t="inlineStr">
        <is>
          <t>094D-nme)</t>
        </is>
      </c>
    </row>
    <row r="80">
      <c r="A80" t="inlineStr">
        <is>
          <t>094E-PRISHTHAMATRA E</t>
        </is>
      </c>
    </row>
    <row r="81">
      <c r="A81" t="inlineStr">
        <is>
          <t>094F-AW</t>
        </is>
      </c>
    </row>
    <row r="82">
      <c r="A82" t="inlineStr">
        <is>
          <t>0950-om</t>
        </is>
      </c>
    </row>
    <row r="83">
      <c r="A83" t="inlineStr">
        <is>
          <t>0951-svarita</t>
        </is>
      </c>
    </row>
    <row r="84">
      <c r="A84" t="inlineStr">
        <is>
          <t>0952-anudatta</t>
        </is>
      </c>
    </row>
    <row r="85">
      <c r="A85" t="inlineStr">
        <is>
          <t>0953-accent</t>
        </is>
      </c>
    </row>
    <row r="86">
      <c r="A86" t="inlineStr">
        <is>
          <t>0954-accent</t>
        </is>
      </c>
    </row>
    <row r="87">
      <c r="A87" t="inlineStr">
        <is>
          <t>0955-CANDRA LONG E</t>
        </is>
      </c>
    </row>
    <row r="88">
      <c r="A88" t="inlineStr">
        <is>
          <t>0956-UE</t>
        </is>
      </c>
    </row>
    <row r="89">
      <c r="A89" t="inlineStr">
        <is>
          <t>0957-UUE</t>
        </is>
      </c>
    </row>
    <row r="90">
      <c r="A90" t="inlineStr">
        <is>
          <t>0958-qa</t>
        </is>
      </c>
    </row>
    <row r="91">
      <c r="A91" t="inlineStr">
        <is>
          <t>0959-khha</t>
        </is>
      </c>
    </row>
    <row r="92">
      <c r="A92" t="inlineStr">
        <is>
          <t>095A-ghha</t>
        </is>
      </c>
    </row>
    <row r="93">
      <c r="A93" t="inlineStr">
        <is>
          <t>095B-za</t>
        </is>
      </c>
    </row>
    <row r="94">
      <c r="A94" t="inlineStr">
        <is>
          <t>095C-dddha</t>
        </is>
      </c>
    </row>
    <row r="95">
      <c r="A95" t="inlineStr">
        <is>
          <t>095D-rha</t>
        </is>
      </c>
    </row>
    <row r="96">
      <c r="A96" t="inlineStr">
        <is>
          <t>095E-fa</t>
        </is>
      </c>
    </row>
    <row r="97">
      <c r="A97" t="inlineStr">
        <is>
          <t>095F-yya</t>
        </is>
      </c>
    </row>
    <row r="98">
      <c r="A98" t="inlineStr">
        <is>
          <t>0960-R</t>
        </is>
      </c>
    </row>
    <row r="99">
      <c r="A99" t="inlineStr">
        <is>
          <t>0961-l</t>
        </is>
      </c>
    </row>
    <row r="100">
      <c r="A100" t="inlineStr">
        <is>
          <t>0962-L</t>
        </is>
      </c>
    </row>
    <row r="101">
      <c r="A101" t="inlineStr">
        <is>
          <t>0963-LL</t>
        </is>
      </c>
    </row>
    <row r="102">
      <c r="A102" t="inlineStr">
        <is>
          <t>0964-viram</t>
        </is>
      </c>
    </row>
    <row r="103">
      <c r="A103" t="inlineStr">
        <is>
          <t>0965-viram</t>
        </is>
      </c>
    </row>
    <row r="104">
      <c r="A104" t="inlineStr">
        <is>
          <t>0966-0</t>
        </is>
      </c>
    </row>
    <row r="105">
      <c r="A105" t="inlineStr">
        <is>
          <t>0967-1</t>
        </is>
      </c>
    </row>
    <row r="106">
      <c r="A106" t="inlineStr">
        <is>
          <t>0968-2</t>
        </is>
      </c>
    </row>
    <row r="107">
      <c r="A107" t="inlineStr">
        <is>
          <t>0969-3</t>
        </is>
      </c>
    </row>
    <row r="108">
      <c r="A108" t="inlineStr">
        <is>
          <t>096A-4</t>
        </is>
      </c>
    </row>
    <row r="109">
      <c r="A109" t="inlineStr">
        <is>
          <t>096B-5</t>
        </is>
      </c>
    </row>
    <row r="110">
      <c r="A110" t="inlineStr">
        <is>
          <t>096C-6</t>
        </is>
      </c>
    </row>
    <row r="111">
      <c r="A111" t="inlineStr">
        <is>
          <t>096D-7</t>
        </is>
      </c>
    </row>
    <row r="112">
      <c r="A112" t="inlineStr">
        <is>
          <t>096E-8</t>
        </is>
      </c>
    </row>
    <row r="113">
      <c r="A113" t="inlineStr">
        <is>
          <t>096F-9</t>
        </is>
      </c>
    </row>
    <row r="114">
      <c r="A114" t="inlineStr">
        <is>
          <t>0970-sign</t>
        </is>
      </c>
    </row>
    <row r="115">
      <c r="A115" t="inlineStr">
        <is>
          <t>0971-HIGH SPACING DOT</t>
        </is>
      </c>
    </row>
    <row r="116">
      <c r="A116" t="inlineStr">
        <is>
          <t>0972-a</t>
        </is>
      </c>
    </row>
    <row r="117">
      <c r="A117" t="inlineStr">
        <is>
          <t>0973-oe</t>
        </is>
      </c>
    </row>
    <row r="118">
      <c r="A118" t="inlineStr">
        <is>
          <t>0974-u</t>
        </is>
      </c>
    </row>
    <row r="119">
      <c r="A119" t="inlineStr">
        <is>
          <t>0975-o</t>
        </is>
      </c>
    </row>
    <row r="120">
      <c r="A120" t="inlineStr">
        <is>
          <t>0976-u</t>
        </is>
      </c>
    </row>
    <row r="121">
      <c r="A121" t="inlineStr">
        <is>
          <t>0977-u</t>
        </is>
      </c>
    </row>
    <row r="122">
      <c r="A122" t="inlineStr">
        <is>
          <t>0978-d</t>
        </is>
      </c>
    </row>
    <row r="123">
      <c r="A123" t="inlineStr">
        <is>
          <t>0979-z</t>
        </is>
      </c>
    </row>
    <row r="124">
      <c r="A124" t="inlineStr">
        <is>
          <t>097A-y</t>
        </is>
      </c>
    </row>
    <row r="125">
      <c r="A125" t="inlineStr">
        <is>
          <t>097B-g</t>
        </is>
      </c>
    </row>
    <row r="126">
      <c r="A126" t="inlineStr">
        <is>
          <t>097C-z</t>
        </is>
      </c>
    </row>
    <row r="127">
      <c r="A127" t="inlineStr">
        <is>
          <t>097D-?#?=kuestion</t>
        </is>
      </c>
    </row>
    <row r="128">
      <c r="A128" t="inlineStr">
        <is>
          <t>097E-d</t>
        </is>
      </c>
    </row>
    <row r="129">
      <c r="A129" t="inlineStr">
        <is>
          <t>097F-b</t>
        </is>
      </c>
    </row>
    <row r="130">
      <c r="A130" t="inlineStr">
        <is>
          <t>0980-siddhirastu</t>
        </is>
      </c>
    </row>
    <row r="131">
      <c r="A131" t="inlineStr">
        <is>
          <t>0981-candrabindu</t>
        </is>
      </c>
    </row>
    <row r="132">
      <c r="A132" t="inlineStr">
        <is>
          <t>0982-anusvara</t>
        </is>
      </c>
    </row>
    <row r="133">
      <c r="A133" t="inlineStr">
        <is>
          <t>0983-visarga</t>
        </is>
      </c>
    </row>
    <row r="134">
      <c r="A134" t="inlineStr">
        <is>
          <t>0985-A</t>
        </is>
      </c>
    </row>
    <row r="135">
      <c r="A135" t="inlineStr">
        <is>
          <t>0986-aa</t>
        </is>
      </c>
    </row>
    <row r="136">
      <c r="A136" t="inlineStr">
        <is>
          <t>0987-i</t>
        </is>
      </c>
    </row>
    <row r="137">
      <c r="A137" t="inlineStr">
        <is>
          <t>0988-i</t>
        </is>
      </c>
    </row>
    <row r="138">
      <c r="A138" t="inlineStr">
        <is>
          <t>0989-u</t>
        </is>
      </c>
    </row>
    <row r="139">
      <c r="A139" t="inlineStr">
        <is>
          <t>098A-u</t>
        </is>
      </c>
    </row>
    <row r="140">
      <c r="A140" t="inlineStr">
        <is>
          <t>098B-r</t>
        </is>
      </c>
    </row>
    <row r="141">
      <c r="A141" t="inlineStr">
        <is>
          <t>098C-l</t>
        </is>
      </c>
    </row>
    <row r="142">
      <c r="A142" t="inlineStr">
        <is>
          <t>098F-e</t>
        </is>
      </c>
    </row>
    <row r="143">
      <c r="A143" t="inlineStr">
        <is>
          <t>0990-ai</t>
        </is>
      </c>
    </row>
    <row r="144">
      <c r="A144" t="inlineStr">
        <is>
          <t>0993-o</t>
        </is>
      </c>
    </row>
    <row r="145">
      <c r="A145" t="inlineStr">
        <is>
          <t>0994-au</t>
        </is>
      </c>
    </row>
    <row r="146">
      <c r="A146" t="inlineStr">
        <is>
          <t>0995-k</t>
        </is>
      </c>
    </row>
    <row r="147">
      <c r="A147" t="inlineStr">
        <is>
          <t>0996-K</t>
        </is>
      </c>
    </row>
    <row r="148">
      <c r="A148" t="inlineStr">
        <is>
          <t>0997-ga</t>
        </is>
      </c>
    </row>
    <row r="149">
      <c r="A149" t="inlineStr">
        <is>
          <t>0998-gha</t>
        </is>
      </c>
    </row>
    <row r="150">
      <c r="A150" t="inlineStr">
        <is>
          <t>0999-nga</t>
        </is>
      </c>
    </row>
    <row r="151">
      <c r="A151" t="inlineStr">
        <is>
          <t>099A-ca</t>
        </is>
      </c>
    </row>
    <row r="152">
      <c r="A152" t="inlineStr">
        <is>
          <t>099B-C#C=ch</t>
        </is>
      </c>
    </row>
    <row r="153">
      <c r="A153" t="inlineStr">
        <is>
          <t>099C-z</t>
        </is>
      </c>
    </row>
    <row r="154">
      <c r="A154" t="inlineStr">
        <is>
          <t>099D-Z#Z=zh</t>
        </is>
      </c>
    </row>
    <row r="155">
      <c r="A155" t="inlineStr">
        <is>
          <t>099E-n</t>
        </is>
      </c>
    </row>
    <row r="156">
      <c r="A156" t="inlineStr">
        <is>
          <t>099F-t</t>
        </is>
      </c>
    </row>
    <row r="157">
      <c r="A157" t="inlineStr">
        <is>
          <t>09A0-J</t>
        </is>
      </c>
    </row>
    <row r="158">
      <c r="A158" t="inlineStr">
        <is>
          <t>09A1-d</t>
        </is>
      </c>
    </row>
    <row r="159">
      <c r="A159" t="inlineStr">
        <is>
          <t>09A2-Q</t>
        </is>
      </c>
    </row>
    <row r="160">
      <c r="A160" t="inlineStr">
        <is>
          <t>09A3-n</t>
        </is>
      </c>
    </row>
    <row r="161">
      <c r="A161" t="inlineStr">
        <is>
          <t>09A4-T</t>
        </is>
      </c>
    </row>
    <row r="162">
      <c r="A162" t="inlineStr">
        <is>
          <t>09A5-j</t>
        </is>
      </c>
    </row>
    <row r="163">
      <c r="A163" t="inlineStr">
        <is>
          <t>09A6-D#Dwai</t>
        </is>
      </c>
    </row>
    <row r="164">
      <c r="A164" t="inlineStr">
        <is>
          <t>09A7-q#q=Dh#qnush</t>
        </is>
      </c>
    </row>
    <row r="165">
      <c r="A165" t="inlineStr">
        <is>
          <t>09A8-n</t>
        </is>
      </c>
    </row>
    <row r="166">
      <c r="A166" t="inlineStr">
        <is>
          <t>09AA-p</t>
        </is>
      </c>
    </row>
    <row r="167">
      <c r="A167" t="inlineStr">
        <is>
          <t>09AB-f</t>
        </is>
      </c>
    </row>
    <row r="168">
      <c r="A168" t="inlineStr">
        <is>
          <t>09AC-wa</t>
        </is>
      </c>
    </row>
    <row r="169">
      <c r="A169" t="inlineStr">
        <is>
          <t>09AD-B#B=bh</t>
        </is>
      </c>
    </row>
    <row r="170">
      <c r="A170" t="inlineStr">
        <is>
          <t>09AE-m</t>
        </is>
      </c>
    </row>
    <row r="171">
      <c r="A171" t="inlineStr">
        <is>
          <t>09AF-y</t>
        </is>
      </c>
    </row>
    <row r="172">
      <c r="A172" t="inlineStr">
        <is>
          <t>09B0-r</t>
        </is>
      </c>
    </row>
    <row r="173">
      <c r="A173" t="inlineStr">
        <is>
          <t>09B2-l</t>
        </is>
      </c>
    </row>
    <row r="174">
      <c r="A174" t="inlineStr">
        <is>
          <t>09B6-S#S=sh</t>
        </is>
      </c>
    </row>
    <row r="175">
      <c r="A175" t="inlineStr">
        <is>
          <t>09B7-s</t>
        </is>
      </c>
    </row>
    <row r="176">
      <c r="A176" t="inlineStr">
        <is>
          <t>09B8-s</t>
        </is>
      </c>
    </row>
    <row r="177">
      <c r="A177" t="inlineStr">
        <is>
          <t>09B9-H#zHaz#zhag#khana#kHani</t>
        </is>
      </c>
    </row>
    <row r="178">
      <c r="A178" t="inlineStr">
        <is>
          <t>09BC-nukta</t>
        </is>
      </c>
    </row>
    <row r="179">
      <c r="A179" t="inlineStr">
        <is>
          <t>09BD-avagraha</t>
        </is>
      </c>
    </row>
    <row r="180">
      <c r="A180" t="inlineStr">
        <is>
          <t>09BE-AA</t>
        </is>
      </c>
    </row>
    <row r="181">
      <c r="A181" t="inlineStr">
        <is>
          <t>09BF-I</t>
        </is>
      </c>
    </row>
    <row r="182">
      <c r="A182" t="inlineStr">
        <is>
          <t>09C0-II</t>
        </is>
      </c>
    </row>
    <row r="183">
      <c r="A183" t="inlineStr">
        <is>
          <t>09C1-U</t>
        </is>
      </c>
    </row>
    <row r="184">
      <c r="A184" t="inlineStr">
        <is>
          <t>09C2-UU</t>
        </is>
      </c>
    </row>
    <row r="185">
      <c r="A185" t="inlineStr">
        <is>
          <t>09C3-R</t>
        </is>
      </c>
    </row>
    <row r="186">
      <c r="A186" t="inlineStr">
        <is>
          <t>09C4-RR</t>
        </is>
      </c>
    </row>
    <row r="187">
      <c r="A187" t="inlineStr">
        <is>
          <t>09C7-E</t>
        </is>
      </c>
    </row>
    <row r="188">
      <c r="A188" t="inlineStr">
        <is>
          <t>09C8-AI</t>
        </is>
      </c>
    </row>
    <row r="189">
      <c r="A189" t="inlineStr">
        <is>
          <t>09CB-O</t>
        </is>
      </c>
    </row>
    <row r="190">
      <c r="A190" t="inlineStr">
        <is>
          <t>09CC-AU</t>
        </is>
      </c>
    </row>
    <row r="191">
      <c r="A191" t="inlineStr">
        <is>
          <t>09CD-halant)</t>
        </is>
      </c>
    </row>
    <row r="192">
      <c r="A192" t="inlineStr">
        <is>
          <t>09CE-T</t>
        </is>
      </c>
    </row>
    <row r="193">
      <c r="A193" t="inlineStr">
        <is>
          <t>09D7-LENGTH MARK</t>
        </is>
      </c>
    </row>
    <row r="194">
      <c r="A194" t="inlineStr">
        <is>
          <t>09DC-R#R=rr=dh</t>
        </is>
      </c>
    </row>
    <row r="195">
      <c r="A195" t="inlineStr">
        <is>
          <t>09DD-rha</t>
        </is>
      </c>
    </row>
    <row r="196">
      <c r="A196" t="inlineStr">
        <is>
          <t>09DF-yya</t>
        </is>
      </c>
    </row>
    <row r="197">
      <c r="A197" t="inlineStr">
        <is>
          <t>09E0-R</t>
        </is>
      </c>
    </row>
    <row r="198">
      <c r="A198" t="inlineStr">
        <is>
          <t>09E1-l</t>
        </is>
      </c>
    </row>
    <row r="199">
      <c r="A199" t="inlineStr">
        <is>
          <t>09E2-L</t>
        </is>
      </c>
    </row>
    <row r="200">
      <c r="A200" t="inlineStr">
        <is>
          <t>09E3-LL</t>
        </is>
      </c>
    </row>
    <row r="201">
      <c r="A201" t="inlineStr">
        <is>
          <t>09E4-&lt;reserved&gt;</t>
        </is>
      </c>
    </row>
    <row r="202">
      <c r="A202" t="inlineStr">
        <is>
          <t>09E5-&lt;reserved&gt;</t>
        </is>
      </c>
    </row>
    <row r="203">
      <c r="A203" t="inlineStr">
        <is>
          <t>09E6-0</t>
        </is>
      </c>
    </row>
    <row r="204">
      <c r="A204" t="inlineStr">
        <is>
          <t>09E7-1</t>
        </is>
      </c>
    </row>
    <row r="205">
      <c r="A205" t="inlineStr">
        <is>
          <t>09E8-2</t>
        </is>
      </c>
    </row>
    <row r="206">
      <c r="A206" t="inlineStr">
        <is>
          <t>09E9-3</t>
        </is>
      </c>
    </row>
    <row r="207">
      <c r="A207" t="inlineStr">
        <is>
          <t>09EA-4</t>
        </is>
      </c>
    </row>
    <row r="208">
      <c r="A208" t="inlineStr">
        <is>
          <t>09EB-5</t>
        </is>
      </c>
    </row>
    <row r="209">
      <c r="A209" t="inlineStr">
        <is>
          <t>09EC-6</t>
        </is>
      </c>
    </row>
    <row r="210">
      <c r="A210" t="inlineStr">
        <is>
          <t>09ED-7</t>
        </is>
      </c>
    </row>
    <row r="211">
      <c r="A211" t="inlineStr">
        <is>
          <t>09EE-8</t>
        </is>
      </c>
    </row>
    <row r="212">
      <c r="A212" t="inlineStr">
        <is>
          <t>09EF-9</t>
        </is>
      </c>
    </row>
    <row r="213">
      <c r="A213" t="inlineStr">
        <is>
          <t>09F0-r</t>
        </is>
      </c>
    </row>
    <row r="214">
      <c r="A214" t="inlineStr">
        <is>
          <t>09F1-wa</t>
        </is>
      </c>
    </row>
    <row r="215">
      <c r="A215" t="inlineStr">
        <is>
          <t>09F2-taka</t>
        </is>
      </c>
    </row>
    <row r="216">
      <c r="A216" t="inlineStr">
        <is>
          <t>09F3-taka</t>
        </is>
      </c>
    </row>
    <row r="217">
      <c r="A217" t="inlineStr">
        <is>
          <t>09F4-1</t>
        </is>
      </c>
    </row>
    <row r="218">
      <c r="A218" t="inlineStr">
        <is>
          <t>09F5-2</t>
        </is>
      </c>
    </row>
    <row r="219">
      <c r="A219" t="inlineStr">
        <is>
          <t>09F6-3</t>
        </is>
      </c>
    </row>
    <row r="220">
      <c r="A220" t="inlineStr">
        <is>
          <t>09F7-4</t>
        </is>
      </c>
    </row>
    <row r="221">
      <c r="A221" t="inlineStr">
        <is>
          <t>09F8-NUMERATOR ONE LESS THAN THE DENOMINATOR</t>
        </is>
      </c>
    </row>
    <row r="222">
      <c r="A222" t="inlineStr">
        <is>
          <t>09F9-DENOMINATOR SIXTEEN</t>
        </is>
      </c>
    </row>
    <row r="223">
      <c r="A223" t="inlineStr">
        <is>
          <t>09FA-ishvar</t>
        </is>
      </c>
    </row>
    <row r="224">
      <c r="A224" t="inlineStr">
        <is>
          <t>09FB-mark</t>
        </is>
      </c>
    </row>
    <row r="225">
      <c r="A225" t="inlineStr">
        <is>
          <t>09FC-anusvara</t>
        </is>
      </c>
    </row>
    <row r="226">
      <c r="A226" t="inlineStr">
        <is>
          <t>09FD-sign</t>
        </is>
      </c>
    </row>
    <row r="227">
      <c r="A227" t="inlineStr">
        <is>
          <t>09FE-mark</t>
        </is>
      </c>
    </row>
    <row r="228">
      <c r="A228" t="inlineStr">
        <is>
          <t>0A01-ADAK BINDI</t>
        </is>
      </c>
    </row>
    <row r="229">
      <c r="A229" t="inlineStr">
        <is>
          <t>0A02-bindi</t>
        </is>
      </c>
    </row>
    <row r="230">
      <c r="A230" t="inlineStr">
        <is>
          <t>0A03-visarga</t>
        </is>
      </c>
    </row>
    <row r="231">
      <c r="A231" t="inlineStr">
        <is>
          <t>0A05-aira</t>
        </is>
      </c>
    </row>
    <row r="232">
      <c r="A232" t="inlineStr">
        <is>
          <t>0A06-aa</t>
        </is>
      </c>
    </row>
    <row r="233">
      <c r="A233" t="inlineStr">
        <is>
          <t>0A07-i</t>
        </is>
      </c>
    </row>
    <row r="234">
      <c r="A234" t="inlineStr">
        <is>
          <t>0A08-i</t>
        </is>
      </c>
    </row>
    <row r="235">
      <c r="A235" t="inlineStr">
        <is>
          <t>0A09-u</t>
        </is>
      </c>
    </row>
    <row r="236">
      <c r="A236" t="inlineStr">
        <is>
          <t>0A0A-u</t>
        </is>
      </c>
    </row>
    <row r="237">
      <c r="A237" t="inlineStr">
        <is>
          <t>0A0F-ee</t>
        </is>
      </c>
    </row>
    <row r="238">
      <c r="A238" t="inlineStr">
        <is>
          <t>0A10-ai</t>
        </is>
      </c>
    </row>
    <row r="239">
      <c r="A239" t="inlineStr">
        <is>
          <t>0A13-o</t>
        </is>
      </c>
    </row>
    <row r="240">
      <c r="A240" t="inlineStr">
        <is>
          <t>0A14-au</t>
        </is>
      </c>
    </row>
    <row r="241">
      <c r="A241" t="inlineStr">
        <is>
          <t>0A15-k</t>
        </is>
      </c>
    </row>
    <row r="242">
      <c r="A242" t="inlineStr">
        <is>
          <t>0A16-K</t>
        </is>
      </c>
    </row>
    <row r="243">
      <c r="A243" t="inlineStr">
        <is>
          <t>0A17-ga</t>
        </is>
      </c>
    </row>
    <row r="244">
      <c r="A244" t="inlineStr">
        <is>
          <t>0A18-gha</t>
        </is>
      </c>
    </row>
    <row r="245">
      <c r="A245" t="inlineStr">
        <is>
          <t>0A19-nga</t>
        </is>
      </c>
    </row>
    <row r="246">
      <c r="A246" t="inlineStr">
        <is>
          <t>0A1A-ca</t>
        </is>
      </c>
    </row>
    <row r="247">
      <c r="A247" t="inlineStr">
        <is>
          <t>0A1B-C#C=ch</t>
        </is>
      </c>
    </row>
    <row r="248">
      <c r="A248" t="inlineStr">
        <is>
          <t>0A1C-z</t>
        </is>
      </c>
    </row>
    <row r="249">
      <c r="A249" t="inlineStr">
        <is>
          <t>0A1D-Z#Z=zh</t>
        </is>
      </c>
    </row>
    <row r="250">
      <c r="A250" t="inlineStr">
        <is>
          <t>0A1E-n</t>
        </is>
      </c>
    </row>
    <row r="251">
      <c r="A251" t="inlineStr">
        <is>
          <t>0A1F-t</t>
        </is>
      </c>
    </row>
    <row r="252">
      <c r="A252" t="inlineStr">
        <is>
          <t>0A20-J</t>
        </is>
      </c>
    </row>
    <row r="253">
      <c r="A253" t="inlineStr">
        <is>
          <t>0A21-d</t>
        </is>
      </c>
    </row>
    <row r="254">
      <c r="A254" t="inlineStr">
        <is>
          <t>0A22-Q</t>
        </is>
      </c>
    </row>
    <row r="255">
      <c r="A255" t="inlineStr">
        <is>
          <t>0A23-n</t>
        </is>
      </c>
    </row>
    <row r="256">
      <c r="A256" t="inlineStr">
        <is>
          <t>0A24-T</t>
        </is>
      </c>
    </row>
    <row r="257">
      <c r="A257" t="inlineStr">
        <is>
          <t>0A25-j</t>
        </is>
      </c>
    </row>
    <row r="258">
      <c r="A258" t="inlineStr">
        <is>
          <t>0A26-D#Dwai</t>
        </is>
      </c>
    </row>
    <row r="259">
      <c r="A259" t="inlineStr">
        <is>
          <t>0A27-q#q=Dh#qnush</t>
        </is>
      </c>
    </row>
    <row r="260">
      <c r="A260" t="inlineStr">
        <is>
          <t>0A28-n</t>
        </is>
      </c>
    </row>
    <row r="261">
      <c r="A261" t="inlineStr">
        <is>
          <t>0A2A-p</t>
        </is>
      </c>
    </row>
    <row r="262">
      <c r="A262" t="inlineStr">
        <is>
          <t>0A2B-f</t>
        </is>
      </c>
    </row>
    <row r="263">
      <c r="A263" t="inlineStr">
        <is>
          <t>0A2C-b</t>
        </is>
      </c>
    </row>
    <row r="264">
      <c r="A264" t="inlineStr">
        <is>
          <t>0A2D-B#B=bh</t>
        </is>
      </c>
    </row>
    <row r="265">
      <c r="A265" t="inlineStr">
        <is>
          <t>0A2E-m</t>
        </is>
      </c>
    </row>
    <row r="266">
      <c r="A266" t="inlineStr">
        <is>
          <t>0A2F-y</t>
        </is>
      </c>
    </row>
    <row r="267">
      <c r="A267" t="inlineStr">
        <is>
          <t>0A30-r</t>
        </is>
      </c>
    </row>
    <row r="268">
      <c r="A268" t="inlineStr">
        <is>
          <t>0A32-l</t>
        </is>
      </c>
    </row>
    <row r="269">
      <c r="A269" t="inlineStr">
        <is>
          <t>0A33-l</t>
        </is>
      </c>
    </row>
    <row r="270">
      <c r="A270" t="inlineStr">
        <is>
          <t>0A35-w</t>
        </is>
      </c>
    </row>
    <row r="271">
      <c r="A271" t="inlineStr">
        <is>
          <t>0A36-S#S=sh</t>
        </is>
      </c>
    </row>
    <row r="272">
      <c r="A272" t="inlineStr">
        <is>
          <t>0A38-s</t>
        </is>
      </c>
    </row>
    <row r="273">
      <c r="A273" t="inlineStr">
        <is>
          <t>0A39-H#zHaz#zhag#khana#kHani</t>
        </is>
      </c>
    </row>
    <row r="274">
      <c r="A274" t="inlineStr">
        <is>
          <t>0A3C-bindi</t>
        </is>
      </c>
    </row>
    <row r="275">
      <c r="A275" t="inlineStr">
        <is>
          <t>0A3E-knna</t>
        </is>
      </c>
    </row>
    <row r="276">
      <c r="A276" t="inlineStr">
        <is>
          <t>0A3F-sihari</t>
        </is>
      </c>
    </row>
    <row r="277">
      <c r="A277" t="inlineStr">
        <is>
          <t>0A40-bihari</t>
        </is>
      </c>
    </row>
    <row r="278">
      <c r="A278" t="inlineStr">
        <is>
          <t>0A41-aunkar</t>
        </is>
      </c>
    </row>
    <row r="279">
      <c r="A279" t="inlineStr">
        <is>
          <t>0A42-dulainkar</t>
        </is>
      </c>
    </row>
    <row r="280">
      <c r="A280" t="inlineStr">
        <is>
          <t>0A47-lanvan</t>
        </is>
      </c>
    </row>
    <row r="281">
      <c r="A281" t="inlineStr">
        <is>
          <t>0A48-dulanvan</t>
        </is>
      </c>
    </row>
    <row r="282">
      <c r="A282" t="inlineStr">
        <is>
          <t>0A4B-hora</t>
        </is>
      </c>
    </row>
    <row r="283">
      <c r="A283" t="inlineStr">
        <is>
          <t>0A4C-knaura</t>
        </is>
      </c>
    </row>
    <row r="284">
      <c r="A284" t="inlineStr">
        <is>
          <t>0A4D-virama</t>
        </is>
      </c>
    </row>
    <row r="285">
      <c r="A285" t="inlineStr">
        <is>
          <t>0A51-udaat</t>
        </is>
      </c>
    </row>
    <row r="286">
      <c r="A286" t="inlineStr">
        <is>
          <t>0A59-khha</t>
        </is>
      </c>
    </row>
    <row r="287">
      <c r="A287" t="inlineStr">
        <is>
          <t>0A5A-ghha</t>
        </is>
      </c>
    </row>
    <row r="288">
      <c r="A288" t="inlineStr">
        <is>
          <t>0A5B-za</t>
        </is>
      </c>
    </row>
    <row r="289">
      <c r="A289" t="inlineStr">
        <is>
          <t>0A5C-R#R=rr=dh</t>
        </is>
      </c>
    </row>
    <row r="290">
      <c r="A290" t="inlineStr">
        <is>
          <t>0A5E-fa</t>
        </is>
      </c>
    </row>
    <row r="291">
      <c r="A291" t="inlineStr">
        <is>
          <t>0A64-&lt;reserved&gt;</t>
        </is>
      </c>
    </row>
    <row r="292">
      <c r="A292" t="inlineStr">
        <is>
          <t>0A65-&lt;reserved&gt;</t>
        </is>
      </c>
    </row>
    <row r="293">
      <c r="A293" t="inlineStr">
        <is>
          <t>0A66-0</t>
        </is>
      </c>
    </row>
    <row r="294">
      <c r="A294" t="inlineStr">
        <is>
          <t>0A67-1</t>
        </is>
      </c>
    </row>
    <row r="295">
      <c r="A295" t="inlineStr">
        <is>
          <t>0A68-2</t>
        </is>
      </c>
    </row>
    <row r="296">
      <c r="A296" t="inlineStr">
        <is>
          <t>0A69-3</t>
        </is>
      </c>
    </row>
    <row r="297">
      <c r="A297" t="inlineStr">
        <is>
          <t>0A6A-4</t>
        </is>
      </c>
    </row>
    <row r="298">
      <c r="A298" t="inlineStr">
        <is>
          <t>0A6B-5</t>
        </is>
      </c>
    </row>
    <row r="299">
      <c r="A299" t="inlineStr">
        <is>
          <t>0A6C-6</t>
        </is>
      </c>
    </row>
    <row r="300">
      <c r="A300" t="inlineStr">
        <is>
          <t>0A6D-7</t>
        </is>
      </c>
    </row>
    <row r="301">
      <c r="A301" t="inlineStr">
        <is>
          <t>0A6E-8</t>
        </is>
      </c>
    </row>
    <row r="302">
      <c r="A302" t="inlineStr">
        <is>
          <t>0A6F-9</t>
        </is>
      </c>
    </row>
    <row r="303">
      <c r="A303" t="inlineStr">
        <is>
          <t>0A70-tippi</t>
        </is>
      </c>
    </row>
    <row r="304">
      <c r="A304" t="inlineStr">
        <is>
          <t>0A71-addak</t>
        </is>
      </c>
    </row>
    <row r="305">
      <c r="A305" t="inlineStr">
        <is>
          <t>0A72-iri</t>
        </is>
      </c>
    </row>
    <row r="306">
      <c r="A306" t="inlineStr">
        <is>
          <t>0A73-ura</t>
        </is>
      </c>
    </row>
    <row r="307">
      <c r="A307" t="inlineStr">
        <is>
          <t>0A74-onkar</t>
        </is>
      </c>
    </row>
    <row r="308">
      <c r="A308" t="inlineStr">
        <is>
          <t>0A75-yakash</t>
        </is>
      </c>
    </row>
    <row r="309">
      <c r="A309" t="inlineStr">
        <is>
          <t>0A76-sign</t>
        </is>
      </c>
    </row>
    <row r="310">
      <c r="A310" t="inlineStr">
        <is>
          <t>0A81-candrabindu</t>
        </is>
      </c>
    </row>
    <row r="311">
      <c r="A311" t="inlineStr">
        <is>
          <t>0A82-anusvara</t>
        </is>
      </c>
    </row>
    <row r="312">
      <c r="A312" t="inlineStr">
        <is>
          <t>0A83-visarga</t>
        </is>
      </c>
    </row>
    <row r="313">
      <c r="A313" t="inlineStr">
        <is>
          <t>0A85-A</t>
        </is>
      </c>
    </row>
    <row r="314">
      <c r="A314" t="inlineStr">
        <is>
          <t>0A86-aa</t>
        </is>
      </c>
    </row>
    <row r="315">
      <c r="A315" t="inlineStr">
        <is>
          <t>0A87-i</t>
        </is>
      </c>
    </row>
    <row r="316">
      <c r="A316" t="inlineStr">
        <is>
          <t>0A88-i</t>
        </is>
      </c>
    </row>
    <row r="317">
      <c r="A317" t="inlineStr">
        <is>
          <t>0A89-u</t>
        </is>
      </c>
    </row>
    <row r="318">
      <c r="A318" t="inlineStr">
        <is>
          <t>0A8A-u</t>
        </is>
      </c>
    </row>
    <row r="319">
      <c r="A319" t="inlineStr">
        <is>
          <t>0A8B-r</t>
        </is>
      </c>
    </row>
    <row r="320">
      <c r="A320" t="inlineStr">
        <is>
          <t>0A8C-l</t>
        </is>
      </c>
    </row>
    <row r="321">
      <c r="A321" t="inlineStr">
        <is>
          <t>0A8D-CANDRA E</t>
        </is>
      </c>
    </row>
    <row r="322">
      <c r="A322" t="inlineStr">
        <is>
          <t>0A8F-e</t>
        </is>
      </c>
    </row>
    <row r="323">
      <c r="A323" t="inlineStr">
        <is>
          <t>0A90-ai</t>
        </is>
      </c>
    </row>
    <row r="324">
      <c r="A324" t="inlineStr">
        <is>
          <t>0A91-CANDRA O</t>
        </is>
      </c>
    </row>
    <row r="325">
      <c r="A325" t="inlineStr">
        <is>
          <t>0A93-o</t>
        </is>
      </c>
    </row>
    <row r="326">
      <c r="A326" t="inlineStr">
        <is>
          <t>0A94-au</t>
        </is>
      </c>
    </row>
    <row r="327">
      <c r="A327" t="inlineStr">
        <is>
          <t>0A95-k</t>
        </is>
      </c>
    </row>
    <row r="328">
      <c r="A328" t="inlineStr">
        <is>
          <t>0A96-K</t>
        </is>
      </c>
    </row>
    <row r="329">
      <c r="A329" t="inlineStr">
        <is>
          <t>0A97-ga</t>
        </is>
      </c>
    </row>
    <row r="330">
      <c r="A330" t="inlineStr">
        <is>
          <t>0A98-gha</t>
        </is>
      </c>
    </row>
    <row r="331">
      <c r="A331" t="inlineStr">
        <is>
          <t>0A99-nga</t>
        </is>
      </c>
    </row>
    <row r="332">
      <c r="A332" t="inlineStr">
        <is>
          <t>0A9A-ca</t>
        </is>
      </c>
    </row>
    <row r="333">
      <c r="A333" t="inlineStr">
        <is>
          <t>0A9B-C#C=ch</t>
        </is>
      </c>
    </row>
    <row r="334">
      <c r="A334" t="inlineStr">
        <is>
          <t>0A9C-z</t>
        </is>
      </c>
    </row>
    <row r="335">
      <c r="A335" t="inlineStr">
        <is>
          <t>0A9D-Z#Z=zh</t>
        </is>
      </c>
    </row>
    <row r="336">
      <c r="A336" t="inlineStr">
        <is>
          <t>0A9E-n</t>
        </is>
      </c>
    </row>
    <row r="337">
      <c r="A337" t="inlineStr">
        <is>
          <t>0A9F-t</t>
        </is>
      </c>
    </row>
    <row r="338">
      <c r="A338" t="inlineStr">
        <is>
          <t>0AA0-J</t>
        </is>
      </c>
    </row>
    <row r="339">
      <c r="A339" t="inlineStr">
        <is>
          <t>0AA1-d</t>
        </is>
      </c>
    </row>
    <row r="340">
      <c r="A340" t="inlineStr">
        <is>
          <t>0AA2-Q</t>
        </is>
      </c>
    </row>
    <row r="341">
      <c r="A341" t="inlineStr">
        <is>
          <t>0AA3-n</t>
        </is>
      </c>
    </row>
    <row r="342">
      <c r="A342" t="inlineStr">
        <is>
          <t>0AA4-T</t>
        </is>
      </c>
    </row>
    <row r="343">
      <c r="A343" t="inlineStr">
        <is>
          <t>0AA5-j</t>
        </is>
      </c>
    </row>
    <row r="344">
      <c r="A344" t="inlineStr">
        <is>
          <t>0AA6-D#Dwai</t>
        </is>
      </c>
    </row>
    <row r="345">
      <c r="A345" t="inlineStr">
        <is>
          <t>0AA7-q#q=Dh#qnush</t>
        </is>
      </c>
    </row>
    <row r="346">
      <c r="A346" t="inlineStr">
        <is>
          <t>0AA8-n</t>
        </is>
      </c>
    </row>
    <row r="347">
      <c r="A347" t="inlineStr">
        <is>
          <t>0AAA-p</t>
        </is>
      </c>
    </row>
    <row r="348">
      <c r="A348" t="inlineStr">
        <is>
          <t>0AAB-f</t>
        </is>
      </c>
    </row>
    <row r="349">
      <c r="A349" t="inlineStr">
        <is>
          <t>0AAC-b</t>
        </is>
      </c>
    </row>
    <row r="350">
      <c r="A350" t="inlineStr">
        <is>
          <t>0AAD-B#B=bh</t>
        </is>
      </c>
    </row>
    <row r="351">
      <c r="A351" t="inlineStr">
        <is>
          <t>0AAE-m</t>
        </is>
      </c>
    </row>
    <row r="352">
      <c r="A352" t="inlineStr">
        <is>
          <t>0AAF-y</t>
        </is>
      </c>
    </row>
    <row r="353">
      <c r="A353" t="inlineStr">
        <is>
          <t>0AB0-r</t>
        </is>
      </c>
    </row>
    <row r="354">
      <c r="A354" t="inlineStr">
        <is>
          <t>0AB2-l</t>
        </is>
      </c>
    </row>
    <row r="355">
      <c r="A355" t="inlineStr">
        <is>
          <t>0AB3-l</t>
        </is>
      </c>
    </row>
    <row r="356">
      <c r="A356" t="inlineStr">
        <is>
          <t>0AB5-w</t>
        </is>
      </c>
    </row>
    <row r="357">
      <c r="A357" t="inlineStr">
        <is>
          <t>0AB6-S#S=sh</t>
        </is>
      </c>
    </row>
    <row r="358">
      <c r="A358" t="inlineStr">
        <is>
          <t>0AB7-s</t>
        </is>
      </c>
    </row>
    <row r="359">
      <c r="A359" t="inlineStr">
        <is>
          <t>0AB8-s</t>
        </is>
      </c>
    </row>
    <row r="360">
      <c r="A360" t="inlineStr">
        <is>
          <t>0AB9-H#zHaz#zhag#khana#kHani</t>
        </is>
      </c>
    </row>
    <row r="361">
      <c r="A361" t="inlineStr">
        <is>
          <t>0ABC-nukta</t>
        </is>
      </c>
    </row>
    <row r="362">
      <c r="A362" t="inlineStr">
        <is>
          <t>0ABD-avagraha</t>
        </is>
      </c>
    </row>
    <row r="363">
      <c r="A363" t="inlineStr">
        <is>
          <t>0ABE-AA</t>
        </is>
      </c>
    </row>
    <row r="364">
      <c r="A364" t="inlineStr">
        <is>
          <t>0ABF-I</t>
        </is>
      </c>
    </row>
    <row r="365">
      <c r="A365" t="inlineStr">
        <is>
          <t>0AC0-II</t>
        </is>
      </c>
    </row>
    <row r="366">
      <c r="A366" t="inlineStr">
        <is>
          <t>0AC1-U</t>
        </is>
      </c>
    </row>
    <row r="367">
      <c r="A367" t="inlineStr">
        <is>
          <t>0AC2-UU</t>
        </is>
      </c>
    </row>
    <row r="368">
      <c r="A368" t="inlineStr">
        <is>
          <t>0AC3-R</t>
        </is>
      </c>
    </row>
    <row r="369">
      <c r="A369" t="inlineStr">
        <is>
          <t>0AC4-RR</t>
        </is>
      </c>
    </row>
    <row r="370">
      <c r="A370" t="inlineStr">
        <is>
          <t>0AC5-CANDRA E</t>
        </is>
      </c>
    </row>
    <row r="371">
      <c r="A371" t="inlineStr">
        <is>
          <t>0AC7-E</t>
        </is>
      </c>
    </row>
    <row r="372">
      <c r="A372" t="inlineStr">
        <is>
          <t>0AC8-AI</t>
        </is>
      </c>
    </row>
    <row r="373">
      <c r="A373" t="inlineStr">
        <is>
          <t>0AC9-CANDRA O</t>
        </is>
      </c>
    </row>
    <row r="374">
      <c r="A374" t="inlineStr">
        <is>
          <t>0ACB-O</t>
        </is>
      </c>
    </row>
    <row r="375">
      <c r="A375" t="inlineStr">
        <is>
          <t>0ACC-AU</t>
        </is>
      </c>
    </row>
    <row r="376">
      <c r="A376" t="inlineStr">
        <is>
          <t>0ACD-virama</t>
        </is>
      </c>
    </row>
    <row r="377">
      <c r="A377" t="inlineStr">
        <is>
          <t>0AD0-om</t>
        </is>
      </c>
    </row>
    <row r="378">
      <c r="A378" t="inlineStr">
        <is>
          <t>0AE0-R</t>
        </is>
      </c>
    </row>
    <row r="379">
      <c r="A379" t="inlineStr">
        <is>
          <t>0AE1-l</t>
        </is>
      </c>
    </row>
    <row r="380">
      <c r="A380" t="inlineStr">
        <is>
          <t>0AE2-L</t>
        </is>
      </c>
    </row>
    <row r="381">
      <c r="A381" t="inlineStr">
        <is>
          <t>0AE3-LL</t>
        </is>
      </c>
    </row>
    <row r="382">
      <c r="A382" t="inlineStr">
        <is>
          <t>0AE4-&lt;reserved&gt;</t>
        </is>
      </c>
    </row>
    <row r="383">
      <c r="A383" t="inlineStr">
        <is>
          <t>0AE5-&lt;reserved&gt;</t>
        </is>
      </c>
    </row>
    <row r="384">
      <c r="A384" t="inlineStr">
        <is>
          <t>0AE6-0</t>
        </is>
      </c>
    </row>
    <row r="385">
      <c r="A385" t="inlineStr">
        <is>
          <t>0AE7-1</t>
        </is>
      </c>
    </row>
    <row r="386">
      <c r="A386" t="inlineStr">
        <is>
          <t>0AE8-2</t>
        </is>
      </c>
    </row>
    <row r="387">
      <c r="A387" t="inlineStr">
        <is>
          <t>0AE9-3</t>
        </is>
      </c>
    </row>
    <row r="388">
      <c r="A388" t="inlineStr">
        <is>
          <t>0AEA-4</t>
        </is>
      </c>
    </row>
    <row r="389">
      <c r="A389" t="inlineStr">
        <is>
          <t>0AEB-5</t>
        </is>
      </c>
    </row>
    <row r="390">
      <c r="A390" t="inlineStr">
        <is>
          <t>0AEC-6</t>
        </is>
      </c>
    </row>
    <row r="391">
      <c r="A391" t="inlineStr">
        <is>
          <t>0AED-7</t>
        </is>
      </c>
    </row>
    <row r="392">
      <c r="A392" t="inlineStr">
        <is>
          <t>0AEE-8</t>
        </is>
      </c>
    </row>
    <row r="393">
      <c r="A393" t="inlineStr">
        <is>
          <t>0AEF-9</t>
        </is>
      </c>
    </row>
    <row r="394">
      <c r="A394" t="inlineStr">
        <is>
          <t>0AF0-sign</t>
        </is>
      </c>
    </row>
    <row r="395">
      <c r="A395" t="inlineStr">
        <is>
          <t>0AF1-sign</t>
        </is>
      </c>
    </row>
    <row r="396">
      <c r="A396" t="inlineStr">
        <is>
          <t>0AF9-zha</t>
        </is>
      </c>
    </row>
    <row r="397">
      <c r="A397" t="inlineStr">
        <is>
          <t>0AFA-sukun</t>
        </is>
      </c>
    </row>
    <row r="398">
      <c r="A398" t="inlineStr">
        <is>
          <t>0AFB-shadda</t>
        </is>
      </c>
    </row>
    <row r="399">
      <c r="A399" t="inlineStr">
        <is>
          <t>0AFC-maddah</t>
        </is>
      </c>
    </row>
    <row r="400">
      <c r="A400" t="inlineStr">
        <is>
          <t>0AFD-THREE-DOT NUKTA ABOVE</t>
        </is>
      </c>
    </row>
    <row r="401">
      <c r="A401" t="inlineStr">
        <is>
          <t>0AFE-CIRCLE NUKTA ABOVE</t>
        </is>
      </c>
    </row>
    <row r="402">
      <c r="A402" t="inlineStr">
        <is>
          <t>0AFF-TWO-CIRCLE NUKTA ABOVE</t>
        </is>
      </c>
    </row>
    <row r="403">
      <c r="A403" t="inlineStr">
        <is>
          <t>0B01-candrabindu</t>
        </is>
      </c>
    </row>
    <row r="404">
      <c r="A404" t="inlineStr">
        <is>
          <t>0B02-anusvara</t>
        </is>
      </c>
    </row>
    <row r="405">
      <c r="A405" t="inlineStr">
        <is>
          <t>0B03-visarga</t>
        </is>
      </c>
    </row>
    <row r="406">
      <c r="A406" t="inlineStr">
        <is>
          <t>0B05-A</t>
        </is>
      </c>
    </row>
    <row r="407">
      <c r="A407" t="inlineStr">
        <is>
          <t>0B06-aa</t>
        </is>
      </c>
    </row>
    <row r="408">
      <c r="A408" t="inlineStr">
        <is>
          <t>0B07-i</t>
        </is>
      </c>
    </row>
    <row r="409">
      <c r="A409" t="inlineStr">
        <is>
          <t>0B08-i</t>
        </is>
      </c>
    </row>
    <row r="410">
      <c r="A410" t="inlineStr">
        <is>
          <t>0B09-u</t>
        </is>
      </c>
    </row>
    <row r="411">
      <c r="A411" t="inlineStr">
        <is>
          <t>0B0A-u</t>
        </is>
      </c>
    </row>
    <row r="412">
      <c r="A412" t="inlineStr">
        <is>
          <t>0B0B-r</t>
        </is>
      </c>
    </row>
    <row r="413">
      <c r="A413" t="inlineStr">
        <is>
          <t>0B0C-l</t>
        </is>
      </c>
    </row>
    <row r="414">
      <c r="A414" t="inlineStr">
        <is>
          <t>0B0F-e</t>
        </is>
      </c>
    </row>
    <row r="415">
      <c r="A415" t="inlineStr">
        <is>
          <t>0B10-ai</t>
        </is>
      </c>
    </row>
    <row r="416">
      <c r="A416" t="inlineStr">
        <is>
          <t>0B13-o</t>
        </is>
      </c>
    </row>
    <row r="417">
      <c r="A417" t="inlineStr">
        <is>
          <t>0B14-au</t>
        </is>
      </c>
    </row>
    <row r="418">
      <c r="A418" t="inlineStr">
        <is>
          <t>0B15-k</t>
        </is>
      </c>
    </row>
    <row r="419">
      <c r="A419" t="inlineStr">
        <is>
          <t>0B16-K</t>
        </is>
      </c>
    </row>
    <row r="420">
      <c r="A420" t="inlineStr">
        <is>
          <t>0B17-ga</t>
        </is>
      </c>
    </row>
    <row r="421">
      <c r="A421" t="inlineStr">
        <is>
          <t>0B18-gha</t>
        </is>
      </c>
    </row>
    <row r="422">
      <c r="A422" t="inlineStr">
        <is>
          <t>0B19-nga</t>
        </is>
      </c>
    </row>
    <row r="423">
      <c r="A423" t="inlineStr">
        <is>
          <t>0B1A-ca</t>
        </is>
      </c>
    </row>
    <row r="424">
      <c r="A424" t="inlineStr">
        <is>
          <t>0B1B-C#C=ch</t>
        </is>
      </c>
    </row>
    <row r="425">
      <c r="A425" t="inlineStr">
        <is>
          <t>0B1C-z</t>
        </is>
      </c>
    </row>
    <row r="426">
      <c r="A426" t="inlineStr">
        <is>
          <t>0B1D-Z#Z=zh</t>
        </is>
      </c>
    </row>
    <row r="427">
      <c r="A427" t="inlineStr">
        <is>
          <t>0B1E-n</t>
        </is>
      </c>
    </row>
    <row r="428">
      <c r="A428" t="inlineStr">
        <is>
          <t>0B1F-t</t>
        </is>
      </c>
    </row>
    <row r="429">
      <c r="A429" t="inlineStr">
        <is>
          <t>0B20-J</t>
        </is>
      </c>
    </row>
    <row r="430">
      <c r="A430" t="inlineStr">
        <is>
          <t>0B21-d</t>
        </is>
      </c>
    </row>
    <row r="431">
      <c r="A431" t="inlineStr">
        <is>
          <t>0B22-Q</t>
        </is>
      </c>
    </row>
    <row r="432">
      <c r="A432" t="inlineStr">
        <is>
          <t>0B23-n</t>
        </is>
      </c>
    </row>
    <row r="433">
      <c r="A433" t="inlineStr">
        <is>
          <t>0B24-T</t>
        </is>
      </c>
    </row>
    <row r="434">
      <c r="A434" t="inlineStr">
        <is>
          <t>0B25-j</t>
        </is>
      </c>
    </row>
    <row r="435">
      <c r="A435" t="inlineStr">
        <is>
          <t>0B26-D#Dwai</t>
        </is>
      </c>
    </row>
    <row r="436">
      <c r="A436" t="inlineStr">
        <is>
          <t>0B27-q#q=Dh#qnush</t>
        </is>
      </c>
    </row>
    <row r="437">
      <c r="A437" t="inlineStr">
        <is>
          <t>0B28-n</t>
        </is>
      </c>
    </row>
    <row r="438">
      <c r="A438" t="inlineStr">
        <is>
          <t>0B2A-p</t>
        </is>
      </c>
    </row>
    <row r="439">
      <c r="A439" t="inlineStr">
        <is>
          <t>0B2B-f</t>
        </is>
      </c>
    </row>
    <row r="440">
      <c r="A440" t="inlineStr">
        <is>
          <t>0B2C-b</t>
        </is>
      </c>
    </row>
    <row r="441">
      <c r="A441" t="inlineStr">
        <is>
          <t>0B2D-B#B=bh</t>
        </is>
      </c>
    </row>
    <row r="442">
      <c r="A442" t="inlineStr">
        <is>
          <t>0B2E-m</t>
        </is>
      </c>
    </row>
    <row r="443">
      <c r="A443" t="inlineStr">
        <is>
          <t>0B2F-z</t>
        </is>
      </c>
    </row>
    <row r="444">
      <c r="A444" t="inlineStr">
        <is>
          <t>0B30-r</t>
        </is>
      </c>
    </row>
    <row r="445">
      <c r="A445" t="inlineStr">
        <is>
          <t>0B32-l</t>
        </is>
      </c>
    </row>
    <row r="446">
      <c r="A446" t="inlineStr">
        <is>
          <t>0B33-l</t>
        </is>
      </c>
    </row>
    <row r="447">
      <c r="A447" t="inlineStr">
        <is>
          <t>0B35-w</t>
        </is>
      </c>
    </row>
    <row r="448">
      <c r="A448" t="inlineStr">
        <is>
          <t>0B36-S#S=sh</t>
        </is>
      </c>
    </row>
    <row r="449">
      <c r="A449" t="inlineStr">
        <is>
          <t>0B37-s</t>
        </is>
      </c>
    </row>
    <row r="450">
      <c r="A450" t="inlineStr">
        <is>
          <t>0B38-s</t>
        </is>
      </c>
    </row>
    <row r="451">
      <c r="A451" t="inlineStr">
        <is>
          <t>0B39-H#zHaz#zhag#khana#kHani</t>
        </is>
      </c>
    </row>
    <row r="452">
      <c r="A452" t="inlineStr">
        <is>
          <t>0B3C-nukta</t>
        </is>
      </c>
    </row>
    <row r="453">
      <c r="A453" t="inlineStr">
        <is>
          <t>0B3D-avagraha</t>
        </is>
      </c>
    </row>
    <row r="454">
      <c r="A454" t="inlineStr">
        <is>
          <t>0B3E-AA</t>
        </is>
      </c>
    </row>
    <row r="455">
      <c r="A455" t="inlineStr">
        <is>
          <t>0B3F-I</t>
        </is>
      </c>
    </row>
    <row r="456">
      <c r="A456" t="inlineStr">
        <is>
          <t>0B40-II</t>
        </is>
      </c>
    </row>
    <row r="457">
      <c r="A457" t="inlineStr">
        <is>
          <t>0B41-U</t>
        </is>
      </c>
    </row>
    <row r="458">
      <c r="A458" t="inlineStr">
        <is>
          <t>0B42-UU</t>
        </is>
      </c>
    </row>
    <row r="459">
      <c r="A459" t="inlineStr">
        <is>
          <t>0B43-R</t>
        </is>
      </c>
    </row>
    <row r="460">
      <c r="A460" t="inlineStr">
        <is>
          <t>0B44-RR</t>
        </is>
      </c>
    </row>
    <row r="461">
      <c r="A461" t="inlineStr">
        <is>
          <t>0B47-E</t>
        </is>
      </c>
    </row>
    <row r="462">
      <c r="A462" t="inlineStr">
        <is>
          <t>0B48-AI</t>
        </is>
      </c>
    </row>
    <row r="463">
      <c r="A463" t="inlineStr">
        <is>
          <t>0B4B-O</t>
        </is>
      </c>
    </row>
    <row r="464">
      <c r="A464" t="inlineStr">
        <is>
          <t>0B4C-AU</t>
        </is>
      </c>
    </row>
    <row r="465">
      <c r="A465" t="inlineStr">
        <is>
          <t>0B4D-virama</t>
        </is>
      </c>
    </row>
    <row r="466">
      <c r="A466" t="inlineStr">
        <is>
          <t>0B53-DOT ABOVE</t>
        </is>
      </c>
    </row>
    <row r="467">
      <c r="A467" t="inlineStr">
        <is>
          <t>0B54-DOUBLE DOT ABOVE</t>
        </is>
      </c>
    </row>
    <row r="468">
      <c r="A468" t="inlineStr">
        <is>
          <t>0B55-overline</t>
        </is>
      </c>
    </row>
    <row r="469">
      <c r="A469" t="inlineStr">
        <is>
          <t>0B56-LENGTH MARK</t>
        </is>
      </c>
    </row>
    <row r="470">
      <c r="A470" t="inlineStr">
        <is>
          <t>0B57-LENGTH MARK</t>
        </is>
      </c>
    </row>
    <row r="471">
      <c r="A471" t="inlineStr">
        <is>
          <t>0B5C-d</t>
        </is>
      </c>
    </row>
    <row r="472">
      <c r="A472" t="inlineStr">
        <is>
          <t>0B5D-Q</t>
        </is>
      </c>
    </row>
    <row r="473">
      <c r="A473" t="inlineStr">
        <is>
          <t>0B5F-y</t>
        </is>
      </c>
    </row>
    <row r="474">
      <c r="A474" t="inlineStr">
        <is>
          <t>0B60-R</t>
        </is>
      </c>
    </row>
    <row r="475">
      <c r="A475" t="inlineStr">
        <is>
          <t>0B61-l</t>
        </is>
      </c>
    </row>
    <row r="476">
      <c r="A476" t="inlineStr">
        <is>
          <t>0B62-L</t>
        </is>
      </c>
    </row>
    <row r="477">
      <c r="A477" t="inlineStr">
        <is>
          <t>0B63-LL</t>
        </is>
      </c>
    </row>
    <row r="478">
      <c r="A478" t="inlineStr">
        <is>
          <t>0B64-&lt;reserved&gt;</t>
        </is>
      </c>
    </row>
    <row r="479">
      <c r="A479" t="inlineStr">
        <is>
          <t>0B65-&lt;reserved&gt;</t>
        </is>
      </c>
    </row>
    <row r="480">
      <c r="A480" t="inlineStr">
        <is>
          <t>0B66-0</t>
        </is>
      </c>
    </row>
    <row r="481">
      <c r="A481" t="inlineStr">
        <is>
          <t>0B67-1</t>
        </is>
      </c>
    </row>
    <row r="482">
      <c r="A482" t="inlineStr">
        <is>
          <t>0B68-2</t>
        </is>
      </c>
    </row>
    <row r="483">
      <c r="A483" t="inlineStr">
        <is>
          <t>0B69-3</t>
        </is>
      </c>
    </row>
    <row r="484">
      <c r="A484" t="inlineStr">
        <is>
          <t>0B6A-4</t>
        </is>
      </c>
    </row>
    <row r="485">
      <c r="A485" t="inlineStr">
        <is>
          <t>0B6B-5</t>
        </is>
      </c>
    </row>
    <row r="486">
      <c r="A486" t="inlineStr">
        <is>
          <t>0B6C-6</t>
        </is>
      </c>
    </row>
    <row r="487">
      <c r="A487" t="inlineStr">
        <is>
          <t>0B6D-7</t>
        </is>
      </c>
    </row>
    <row r="488">
      <c r="A488" t="inlineStr">
        <is>
          <t>0B6E-8</t>
        </is>
      </c>
    </row>
    <row r="489">
      <c r="A489" t="inlineStr">
        <is>
          <t>0B6F-9</t>
        </is>
      </c>
    </row>
    <row r="490">
      <c r="A490" t="inlineStr">
        <is>
          <t>0B70-isshar</t>
        </is>
      </c>
    </row>
    <row r="491">
      <c r="A491" t="inlineStr">
        <is>
          <t>0B71-wa</t>
        </is>
      </c>
    </row>
    <row r="492">
      <c r="A492" t="inlineStr">
        <is>
          <t>0B72-ONE QUARTER</t>
        </is>
      </c>
    </row>
    <row r="493">
      <c r="A493" t="inlineStr">
        <is>
          <t>0B73-ONE HALF</t>
        </is>
      </c>
    </row>
    <row r="494">
      <c r="A494" t="inlineStr">
        <is>
          <t>0B74-THREE QUARTERS</t>
        </is>
      </c>
    </row>
    <row r="495">
      <c r="A495" t="inlineStr">
        <is>
          <t>0B75-ONE SIXTEENTH</t>
        </is>
      </c>
    </row>
    <row r="496">
      <c r="A496" t="inlineStr">
        <is>
          <t>0B76-ONE EIGHTH</t>
        </is>
      </c>
    </row>
    <row r="497">
      <c r="A497" t="inlineStr">
        <is>
          <t>0B77-THREE SIXTEENTHS</t>
        </is>
      </c>
    </row>
    <row r="498">
      <c r="A498" t="inlineStr">
        <is>
          <t>0B82-anusvara</t>
        </is>
      </c>
    </row>
    <row r="499">
      <c r="A499" t="inlineStr">
        <is>
          <t>0B83-aytham</t>
        </is>
      </c>
    </row>
    <row r="500">
      <c r="A500" t="inlineStr">
        <is>
          <t>0B85-A</t>
        </is>
      </c>
    </row>
    <row r="501">
      <c r="A501" t="inlineStr">
        <is>
          <t>0B86-aa</t>
        </is>
      </c>
    </row>
    <row r="502">
      <c r="A502" t="inlineStr">
        <is>
          <t>0B87-i</t>
        </is>
      </c>
    </row>
    <row r="503">
      <c r="A503" t="inlineStr">
        <is>
          <t>0B88-i</t>
        </is>
      </c>
    </row>
    <row r="504">
      <c r="A504" t="inlineStr">
        <is>
          <t>0B89-u</t>
        </is>
      </c>
    </row>
    <row r="505">
      <c r="A505" t="inlineStr">
        <is>
          <t>0B8A-u</t>
        </is>
      </c>
    </row>
    <row r="506">
      <c r="A506" t="inlineStr">
        <is>
          <t>0B8E-e</t>
        </is>
      </c>
    </row>
    <row r="507">
      <c r="A507" t="inlineStr">
        <is>
          <t>0B8F-ee</t>
        </is>
      </c>
    </row>
    <row r="508">
      <c r="A508" t="inlineStr">
        <is>
          <t>0B90-ai</t>
        </is>
      </c>
    </row>
    <row r="509">
      <c r="A509" t="inlineStr">
        <is>
          <t>0B92-o</t>
        </is>
      </c>
    </row>
    <row r="510">
      <c r="A510" t="inlineStr">
        <is>
          <t>0B93-o</t>
        </is>
      </c>
    </row>
    <row r="511">
      <c r="A511" t="inlineStr">
        <is>
          <t>0B94-au</t>
        </is>
      </c>
    </row>
    <row r="512">
      <c r="A512" t="inlineStr">
        <is>
          <t>0B95-k</t>
        </is>
      </c>
    </row>
    <row r="513">
      <c r="A513" t="inlineStr">
        <is>
          <t>0B99-nga</t>
        </is>
      </c>
    </row>
    <row r="514">
      <c r="A514" t="inlineStr">
        <is>
          <t>0B9A-ca</t>
        </is>
      </c>
    </row>
    <row r="515">
      <c r="A515" t="inlineStr">
        <is>
          <t>0B9C-z</t>
        </is>
      </c>
    </row>
    <row r="516">
      <c r="A516" t="inlineStr">
        <is>
          <t>0B9E-n</t>
        </is>
      </c>
    </row>
    <row r="517">
      <c r="A517" t="inlineStr">
        <is>
          <t>0B9F-t</t>
        </is>
      </c>
    </row>
    <row r="518">
      <c r="A518" t="inlineStr">
        <is>
          <t>0BA3-n</t>
        </is>
      </c>
    </row>
    <row r="519">
      <c r="A519" t="inlineStr">
        <is>
          <t>0BA4-T</t>
        </is>
      </c>
    </row>
    <row r="520">
      <c r="A520" t="inlineStr">
        <is>
          <t>0BA8-n</t>
        </is>
      </c>
    </row>
    <row r="521">
      <c r="A521" t="inlineStr">
        <is>
          <t>0BA9-n</t>
        </is>
      </c>
    </row>
    <row r="522">
      <c r="A522" t="inlineStr">
        <is>
          <t>0BAA-maa</t>
        </is>
      </c>
    </row>
    <row r="523">
      <c r="A523" t="inlineStr">
        <is>
          <t>0BAE-m</t>
        </is>
      </c>
    </row>
    <row r="524">
      <c r="A524" t="inlineStr">
        <is>
          <t>0BAF-y</t>
        </is>
      </c>
    </row>
    <row r="525">
      <c r="A525" t="inlineStr">
        <is>
          <t>0BB0-r</t>
        </is>
      </c>
    </row>
    <row r="526">
      <c r="A526" t="inlineStr">
        <is>
          <t>0BB1-R#R=rr=dh</t>
        </is>
      </c>
    </row>
    <row r="527">
      <c r="A527" t="inlineStr">
        <is>
          <t>0BB2-l</t>
        </is>
      </c>
    </row>
    <row r="528">
      <c r="A528" t="inlineStr">
        <is>
          <t>0BB3-l</t>
        </is>
      </c>
    </row>
    <row r="529">
      <c r="A529" t="inlineStr">
        <is>
          <t>0BB4-l</t>
        </is>
      </c>
    </row>
    <row r="530">
      <c r="A530" t="inlineStr">
        <is>
          <t>0BB5-w</t>
        </is>
      </c>
    </row>
    <row r="531">
      <c r="A531" t="inlineStr">
        <is>
          <t>0BB6-S#S=sh</t>
        </is>
      </c>
    </row>
    <row r="532">
      <c r="A532" t="inlineStr">
        <is>
          <t>0BB7-s</t>
        </is>
      </c>
    </row>
    <row r="533">
      <c r="A533" t="inlineStr">
        <is>
          <t>0BB8-s</t>
        </is>
      </c>
    </row>
    <row r="534">
      <c r="A534" t="inlineStr">
        <is>
          <t>0BB9-H#zHaz#zhag#khana#kHani</t>
        </is>
      </c>
    </row>
    <row r="535">
      <c r="A535" t="inlineStr">
        <is>
          <t>0BBE-AA</t>
        </is>
      </c>
    </row>
    <row r="536">
      <c r="A536" t="inlineStr">
        <is>
          <t>0BBF-I</t>
        </is>
      </c>
    </row>
    <row r="537">
      <c r="A537" t="inlineStr">
        <is>
          <t>0BC0-II</t>
        </is>
      </c>
    </row>
    <row r="538">
      <c r="A538" t="inlineStr">
        <is>
          <t>0BC1-U</t>
        </is>
      </c>
    </row>
    <row r="539">
      <c r="A539" t="inlineStr">
        <is>
          <t>0BC2-UU</t>
        </is>
      </c>
    </row>
    <row r="540">
      <c r="A540" t="inlineStr">
        <is>
          <t>0BC6-E</t>
        </is>
      </c>
    </row>
    <row r="541">
      <c r="A541" t="inlineStr">
        <is>
          <t>0BC7-EE</t>
        </is>
      </c>
    </row>
    <row r="542">
      <c r="A542" t="inlineStr">
        <is>
          <t>0BC8-AI</t>
        </is>
      </c>
    </row>
    <row r="543">
      <c r="A543" t="inlineStr">
        <is>
          <t>0BCA-O</t>
        </is>
      </c>
    </row>
    <row r="544">
      <c r="A544" t="inlineStr">
        <is>
          <t>0BCB-OO</t>
        </is>
      </c>
    </row>
    <row r="545">
      <c r="A545" t="inlineStr">
        <is>
          <t>0BCC-AU</t>
        </is>
      </c>
    </row>
    <row r="546">
      <c r="A546" t="inlineStr">
        <is>
          <t>0BCD-pulli</t>
        </is>
      </c>
    </row>
    <row r="547">
      <c r="A547" t="inlineStr">
        <is>
          <t>0BD0-om</t>
        </is>
      </c>
    </row>
    <row r="548">
      <c r="A548" t="inlineStr">
        <is>
          <t>0BD7-LENGTH MARK</t>
        </is>
      </c>
    </row>
    <row r="549">
      <c r="A549" t="inlineStr">
        <is>
          <t>0BE4-&lt;reserved&gt;</t>
        </is>
      </c>
    </row>
    <row r="550">
      <c r="A550" t="inlineStr">
        <is>
          <t>0BE5-&lt;reserved&gt;</t>
        </is>
      </c>
    </row>
    <row r="551">
      <c r="A551" t="inlineStr">
        <is>
          <t>0BE6-0</t>
        </is>
      </c>
    </row>
    <row r="552">
      <c r="A552" t="inlineStr">
        <is>
          <t>0BE7-1</t>
        </is>
      </c>
    </row>
    <row r="553">
      <c r="A553" t="inlineStr">
        <is>
          <t>0BE8-2</t>
        </is>
      </c>
    </row>
    <row r="554">
      <c r="A554" t="inlineStr">
        <is>
          <t>0BE9-3</t>
        </is>
      </c>
    </row>
    <row r="555">
      <c r="A555" t="inlineStr">
        <is>
          <t>0BEA-4</t>
        </is>
      </c>
    </row>
    <row r="556">
      <c r="A556" t="inlineStr">
        <is>
          <t>0BEB-5</t>
        </is>
      </c>
    </row>
    <row r="557">
      <c r="A557" t="inlineStr">
        <is>
          <t>0BEC-6</t>
        </is>
      </c>
    </row>
    <row r="558">
      <c r="A558" t="inlineStr">
        <is>
          <t>0BED-7</t>
        </is>
      </c>
    </row>
    <row r="559">
      <c r="A559" t="inlineStr">
        <is>
          <t>0BEE-8</t>
        </is>
      </c>
    </row>
    <row r="560">
      <c r="A560" t="inlineStr">
        <is>
          <t>0BEF-9</t>
        </is>
      </c>
    </row>
    <row r="561">
      <c r="A561" t="inlineStr">
        <is>
          <t>0BF0-ten</t>
        </is>
      </c>
    </row>
    <row r="562">
      <c r="A562" t="inlineStr">
        <is>
          <t>0BF1-ONE HUNDRED</t>
        </is>
      </c>
    </row>
    <row r="563">
      <c r="A563" t="inlineStr">
        <is>
          <t>0BF2-ONE THOUSAND</t>
        </is>
      </c>
    </row>
    <row r="564">
      <c r="A564" t="inlineStr">
        <is>
          <t>0BF3-nali/padi</t>
        </is>
      </c>
    </row>
    <row r="565">
      <c r="A565" t="inlineStr">
        <is>
          <t>0BF4-maatham</t>
        </is>
      </c>
    </row>
    <row r="566">
      <c r="A566" t="inlineStr">
        <is>
          <t>0BF5-varudam</t>
        </is>
      </c>
    </row>
    <row r="567">
      <c r="A567" t="inlineStr">
        <is>
          <t>0BF6-ptru</t>
        </is>
      </c>
    </row>
    <row r="568">
      <c r="A568" t="inlineStr">
        <is>
          <t>0BF7-eduppu</t>
        </is>
      </c>
    </row>
    <row r="569">
      <c r="A569" t="inlineStr">
        <is>
          <t>0BF8-merpadi</t>
        </is>
      </c>
    </row>
    <row r="570">
      <c r="A570" t="inlineStr">
        <is>
          <t>0BF9-rupai</t>
        </is>
      </c>
    </row>
    <row r="571">
      <c r="A571" t="inlineStr">
        <is>
          <t>0BFA-niluvai</t>
        </is>
      </c>
    </row>
    <row r="572">
      <c r="A572" t="inlineStr">
        <is>
          <t>0C00-COMBINING CANDRABINDU ABOVE</t>
        </is>
      </c>
    </row>
    <row r="573">
      <c r="A573" t="inlineStr">
        <is>
          <t>0C01-arasunna</t>
        </is>
      </c>
    </row>
    <row r="574">
      <c r="A574" t="inlineStr">
        <is>
          <t>0C02-sunna</t>
        </is>
      </c>
    </row>
    <row r="575">
      <c r="A575" t="inlineStr">
        <is>
          <t>0C03-visarga</t>
        </is>
      </c>
    </row>
    <row r="576">
      <c r="A576" t="inlineStr">
        <is>
          <t>0C04-COMBINING ANUSVARA ABOVE</t>
        </is>
      </c>
    </row>
    <row r="577">
      <c r="A577" t="inlineStr">
        <is>
          <t>0C05-A</t>
        </is>
      </c>
    </row>
    <row r="578">
      <c r="A578" t="inlineStr">
        <is>
          <t>0C06-aa</t>
        </is>
      </c>
    </row>
    <row r="579">
      <c r="A579" t="inlineStr">
        <is>
          <t>0C07-i</t>
        </is>
      </c>
    </row>
    <row r="580">
      <c r="A580" t="inlineStr">
        <is>
          <t>0C08-i</t>
        </is>
      </c>
    </row>
    <row r="581">
      <c r="A581" t="inlineStr">
        <is>
          <t>0C09-u</t>
        </is>
      </c>
    </row>
    <row r="582">
      <c r="A582" t="inlineStr">
        <is>
          <t>0C0A-u</t>
        </is>
      </c>
    </row>
    <row r="583">
      <c r="A583" t="inlineStr">
        <is>
          <t>0C0B-r</t>
        </is>
      </c>
    </row>
    <row r="584">
      <c r="A584" t="inlineStr">
        <is>
          <t>0C0C-l</t>
        </is>
      </c>
    </row>
    <row r="585">
      <c r="A585" t="inlineStr">
        <is>
          <t>0C0E-e</t>
        </is>
      </c>
    </row>
    <row r="586">
      <c r="A586" t="inlineStr">
        <is>
          <t>0C0F-ee</t>
        </is>
      </c>
    </row>
    <row r="587">
      <c r="A587" t="inlineStr">
        <is>
          <t>0C10-ai</t>
        </is>
      </c>
    </row>
    <row r="588">
      <c r="A588" t="inlineStr">
        <is>
          <t>0C12-o</t>
        </is>
      </c>
    </row>
    <row r="589">
      <c r="A589" t="inlineStr">
        <is>
          <t>0C13-o</t>
        </is>
      </c>
    </row>
    <row r="590">
      <c r="A590" t="inlineStr">
        <is>
          <t>0C14-au</t>
        </is>
      </c>
    </row>
    <row r="591">
      <c r="A591" t="inlineStr">
        <is>
          <t>0C15-k</t>
        </is>
      </c>
    </row>
    <row r="592">
      <c r="A592" t="inlineStr">
        <is>
          <t>0C16-K</t>
        </is>
      </c>
    </row>
    <row r="593">
      <c r="A593" t="inlineStr">
        <is>
          <t>0C17-ga</t>
        </is>
      </c>
    </row>
    <row r="594">
      <c r="A594" t="inlineStr">
        <is>
          <t>0C18-gha</t>
        </is>
      </c>
    </row>
    <row r="595">
      <c r="A595" t="inlineStr">
        <is>
          <t>0C19-nga</t>
        </is>
      </c>
    </row>
    <row r="596">
      <c r="A596" t="inlineStr">
        <is>
          <t>0C1A-ca</t>
        </is>
      </c>
    </row>
    <row r="597">
      <c r="A597" t="inlineStr">
        <is>
          <t>0C1B-C#C=ch</t>
        </is>
      </c>
    </row>
    <row r="598">
      <c r="A598" t="inlineStr">
        <is>
          <t>0C1C-z</t>
        </is>
      </c>
    </row>
    <row r="599">
      <c r="A599" t="inlineStr">
        <is>
          <t>0C1D-Z#Z=zh</t>
        </is>
      </c>
    </row>
    <row r="600">
      <c r="A600" t="inlineStr">
        <is>
          <t>0C1E-n</t>
        </is>
      </c>
    </row>
    <row r="601">
      <c r="A601" t="inlineStr">
        <is>
          <t>0C1F-t</t>
        </is>
      </c>
    </row>
    <row r="602">
      <c r="A602" t="inlineStr">
        <is>
          <t>0C20-J</t>
        </is>
      </c>
    </row>
    <row r="603">
      <c r="A603" t="inlineStr">
        <is>
          <t>0C21-d</t>
        </is>
      </c>
    </row>
    <row r="604">
      <c r="A604" t="inlineStr">
        <is>
          <t>0C22-Q</t>
        </is>
      </c>
    </row>
    <row r="605">
      <c r="A605" t="inlineStr">
        <is>
          <t>0C23-n</t>
        </is>
      </c>
    </row>
    <row r="606">
      <c r="A606" t="inlineStr">
        <is>
          <t>0C24-T</t>
        </is>
      </c>
    </row>
    <row r="607">
      <c r="A607" t="inlineStr">
        <is>
          <t>0C25-j</t>
        </is>
      </c>
    </row>
    <row r="608">
      <c r="A608" t="inlineStr">
        <is>
          <t>0C26-D#Dwai</t>
        </is>
      </c>
    </row>
    <row r="609">
      <c r="A609" t="inlineStr">
        <is>
          <t>0C27-q#q=Dh#qnush</t>
        </is>
      </c>
    </row>
    <row r="610">
      <c r="A610" t="inlineStr">
        <is>
          <t>0C28-n</t>
        </is>
      </c>
    </row>
    <row r="611">
      <c r="A611" t="inlineStr">
        <is>
          <t>0C2A-p</t>
        </is>
      </c>
    </row>
    <row r="612">
      <c r="A612" t="inlineStr">
        <is>
          <t>0C2B-f</t>
        </is>
      </c>
    </row>
    <row r="613">
      <c r="A613" t="inlineStr">
        <is>
          <t>0C2C-b</t>
        </is>
      </c>
    </row>
    <row r="614">
      <c r="A614" t="inlineStr">
        <is>
          <t>0C2D-B#B=bh</t>
        </is>
      </c>
    </row>
    <row r="615">
      <c r="A615" t="inlineStr">
        <is>
          <t>0C2E-m</t>
        </is>
      </c>
    </row>
    <row r="616">
      <c r="A616" t="inlineStr">
        <is>
          <t>0C2F-y</t>
        </is>
      </c>
    </row>
    <row r="617">
      <c r="A617" t="inlineStr">
        <is>
          <t>0C30-r</t>
        </is>
      </c>
    </row>
    <row r="618">
      <c r="A618" t="inlineStr">
        <is>
          <t>0C31-R#R=rr=dh</t>
        </is>
      </c>
    </row>
    <row r="619">
      <c r="A619" t="inlineStr">
        <is>
          <t>0C32-l</t>
        </is>
      </c>
    </row>
    <row r="620">
      <c r="A620" t="inlineStr">
        <is>
          <t>0C33-l</t>
        </is>
      </c>
    </row>
    <row r="621">
      <c r="A621" t="inlineStr">
        <is>
          <t>0C34-l</t>
        </is>
      </c>
    </row>
    <row r="622">
      <c r="A622" t="inlineStr">
        <is>
          <t>0C35-w</t>
        </is>
      </c>
    </row>
    <row r="623">
      <c r="A623" t="inlineStr">
        <is>
          <t>0C36-S#S=sh</t>
        </is>
      </c>
    </row>
    <row r="624">
      <c r="A624" t="inlineStr">
        <is>
          <t>0C37-s</t>
        </is>
      </c>
    </row>
    <row r="625">
      <c r="A625" t="inlineStr">
        <is>
          <t>0C38-s</t>
        </is>
      </c>
    </row>
    <row r="626">
      <c r="A626" t="inlineStr">
        <is>
          <t>0C39-H#zHaz#zhag#khana#kHani</t>
        </is>
      </c>
    </row>
    <row r="627">
      <c r="A627" t="inlineStr">
        <is>
          <t>0C3C-nukta</t>
        </is>
      </c>
    </row>
    <row r="628">
      <c r="A628" t="inlineStr">
        <is>
          <t>0C3D-avagraha</t>
        </is>
      </c>
    </row>
    <row r="629">
      <c r="A629" t="inlineStr">
        <is>
          <t>0C3E-AA</t>
        </is>
      </c>
    </row>
    <row r="630">
      <c r="A630" t="inlineStr">
        <is>
          <t>0C3F-I</t>
        </is>
      </c>
    </row>
    <row r="631">
      <c r="A631" t="inlineStr">
        <is>
          <t>0C40-II</t>
        </is>
      </c>
    </row>
    <row r="632">
      <c r="A632" t="inlineStr">
        <is>
          <t>0C41-U</t>
        </is>
      </c>
    </row>
    <row r="633">
      <c r="A633" t="inlineStr">
        <is>
          <t>0C42-UU</t>
        </is>
      </c>
    </row>
    <row r="634">
      <c r="A634" t="inlineStr">
        <is>
          <t>0C43-R</t>
        </is>
      </c>
    </row>
    <row r="635">
      <c r="A635" t="inlineStr">
        <is>
          <t>0C44-RR</t>
        </is>
      </c>
    </row>
    <row r="636">
      <c r="A636" t="inlineStr">
        <is>
          <t>0C46-E</t>
        </is>
      </c>
    </row>
    <row r="637">
      <c r="A637" t="inlineStr">
        <is>
          <t>0C47-EE</t>
        </is>
      </c>
    </row>
    <row r="638">
      <c r="A638" t="inlineStr">
        <is>
          <t>0C48-AI</t>
        </is>
      </c>
    </row>
    <row r="639">
      <c r="A639" t="inlineStr">
        <is>
          <t>0C4A-O</t>
        </is>
      </c>
    </row>
    <row r="640">
      <c r="A640" t="inlineStr">
        <is>
          <t>0C4B-OO</t>
        </is>
      </c>
    </row>
    <row r="641">
      <c r="A641" t="inlineStr">
        <is>
          <t>0C4C-AU</t>
        </is>
      </c>
    </row>
    <row r="642">
      <c r="A642" t="inlineStr">
        <is>
          <t>0C4D-nme)</t>
        </is>
      </c>
    </row>
    <row r="643">
      <c r="A643" t="inlineStr">
        <is>
          <t>0C55-mark</t>
        </is>
      </c>
    </row>
    <row r="644">
      <c r="A644" t="inlineStr">
        <is>
          <t>0C56-LENGTH MARK</t>
        </is>
      </c>
    </row>
    <row r="645">
      <c r="A645" t="inlineStr">
        <is>
          <t>0C58-tsa</t>
        </is>
      </c>
    </row>
    <row r="646">
      <c r="A646" t="inlineStr">
        <is>
          <t>0C59-dza</t>
        </is>
      </c>
    </row>
    <row r="647">
      <c r="A647" t="inlineStr">
        <is>
          <t>0C5A-Rra</t>
        </is>
      </c>
    </row>
    <row r="648">
      <c r="A648" t="inlineStr">
        <is>
          <t>0C5C-shrii</t>
        </is>
      </c>
    </row>
    <row r="649">
      <c r="A649" t="inlineStr">
        <is>
          <t>0C5D-pollu</t>
        </is>
      </c>
    </row>
    <row r="650">
      <c r="A650" t="inlineStr">
        <is>
          <t>0C60-R</t>
        </is>
      </c>
    </row>
    <row r="651">
      <c r="A651" t="inlineStr">
        <is>
          <t>0C61-l</t>
        </is>
      </c>
    </row>
    <row r="652">
      <c r="A652" t="inlineStr">
        <is>
          <t>0C62-L</t>
        </is>
      </c>
    </row>
    <row r="653">
      <c r="A653" t="inlineStr">
        <is>
          <t>0C63-LL</t>
        </is>
      </c>
    </row>
    <row r="654">
      <c r="A654" t="inlineStr">
        <is>
          <t>0C64-&lt;reserved&gt;</t>
        </is>
      </c>
    </row>
    <row r="655">
      <c r="A655" t="inlineStr">
        <is>
          <t>0C65-&lt;reserved&gt;</t>
        </is>
      </c>
    </row>
    <row r="656">
      <c r="A656" t="inlineStr">
        <is>
          <t>0C66-0</t>
        </is>
      </c>
    </row>
    <row r="657">
      <c r="A657" t="inlineStr">
        <is>
          <t>0C67-1</t>
        </is>
      </c>
    </row>
    <row r="658">
      <c r="A658" t="inlineStr">
        <is>
          <t>0C68-2</t>
        </is>
      </c>
    </row>
    <row r="659">
      <c r="A659" t="inlineStr">
        <is>
          <t>0C69-3</t>
        </is>
      </c>
    </row>
    <row r="660">
      <c r="A660" t="inlineStr">
        <is>
          <t>0C6A-4</t>
        </is>
      </c>
    </row>
    <row r="661">
      <c r="A661" t="inlineStr">
        <is>
          <t>0C6B-5</t>
        </is>
      </c>
    </row>
    <row r="662">
      <c r="A662" t="inlineStr">
        <is>
          <t>0C6C-6</t>
        </is>
      </c>
    </row>
    <row r="663">
      <c r="A663" t="inlineStr">
        <is>
          <t>0C6D-7</t>
        </is>
      </c>
    </row>
    <row r="664">
      <c r="A664" t="inlineStr">
        <is>
          <t>0C6E-8</t>
        </is>
      </c>
    </row>
    <row r="665">
      <c r="A665" t="inlineStr">
        <is>
          <t>0C6F-9</t>
        </is>
      </c>
    </row>
    <row r="666">
      <c r="A666" t="inlineStr">
        <is>
          <t>0C77-siddhirastu</t>
        </is>
      </c>
    </row>
    <row r="667">
      <c r="A667" t="inlineStr">
        <is>
          <t>0C78-4</t>
        </is>
      </c>
    </row>
    <row r="668">
      <c r="A668" t="inlineStr">
        <is>
          <t>0C79-4</t>
        </is>
      </c>
    </row>
    <row r="669">
      <c r="A669" t="inlineStr">
        <is>
          <t>0C7A-4</t>
        </is>
      </c>
    </row>
    <row r="670">
      <c r="A670" t="inlineStr">
        <is>
          <t>0C7B-4</t>
        </is>
      </c>
    </row>
    <row r="671">
      <c r="A671" t="inlineStr">
        <is>
          <t>0C7C-4</t>
        </is>
      </c>
    </row>
    <row r="672">
      <c r="A672" t="inlineStr">
        <is>
          <t>0C7D-4</t>
        </is>
      </c>
    </row>
    <row r="673">
      <c r="A673" t="inlineStr">
        <is>
          <t>0C7E-4</t>
        </is>
      </c>
    </row>
    <row r="674">
      <c r="A674" t="inlineStr">
        <is>
          <t>0C7F-tuumu</t>
        </is>
      </c>
    </row>
    <row r="675">
      <c r="A675" t="inlineStr">
        <is>
          <t>0C80-candrabindu</t>
        </is>
      </c>
    </row>
    <row r="676">
      <c r="A676" t="inlineStr">
        <is>
          <t>0C81-candrabindu</t>
        </is>
      </c>
    </row>
    <row r="677">
      <c r="A677" t="inlineStr">
        <is>
          <t>0C82-anusvara</t>
        </is>
      </c>
    </row>
    <row r="678">
      <c r="A678" t="inlineStr">
        <is>
          <t>0C83-visarga</t>
        </is>
      </c>
    </row>
    <row r="679">
      <c r="A679" t="inlineStr">
        <is>
          <t>0C84-siddhirastu</t>
        </is>
      </c>
    </row>
    <row r="680">
      <c r="A680" t="inlineStr">
        <is>
          <t>0C85-A</t>
        </is>
      </c>
    </row>
    <row r="681">
      <c r="A681" t="inlineStr">
        <is>
          <t>0C86-aa</t>
        </is>
      </c>
    </row>
    <row r="682">
      <c r="A682" t="inlineStr">
        <is>
          <t>0C87-i</t>
        </is>
      </c>
    </row>
    <row r="683">
      <c r="A683" t="inlineStr">
        <is>
          <t>0C88-i</t>
        </is>
      </c>
    </row>
    <row r="684">
      <c r="A684" t="inlineStr">
        <is>
          <t>0C89-u</t>
        </is>
      </c>
    </row>
    <row r="685">
      <c r="A685" t="inlineStr">
        <is>
          <t>0C8A-u</t>
        </is>
      </c>
    </row>
    <row r="686">
      <c r="A686" t="inlineStr">
        <is>
          <t>0C8B-r</t>
        </is>
      </c>
    </row>
    <row r="687">
      <c r="A687" t="inlineStr">
        <is>
          <t>0C8C-l</t>
        </is>
      </c>
    </row>
    <row r="688">
      <c r="A688" t="inlineStr">
        <is>
          <t>0C8E-e</t>
        </is>
      </c>
    </row>
    <row r="689">
      <c r="A689" t="inlineStr">
        <is>
          <t>0C8F-ee</t>
        </is>
      </c>
    </row>
    <row r="690">
      <c r="A690" t="inlineStr">
        <is>
          <t>0C90-ai</t>
        </is>
      </c>
    </row>
    <row r="691">
      <c r="A691" t="inlineStr">
        <is>
          <t>0C92-o</t>
        </is>
      </c>
    </row>
    <row r="692">
      <c r="A692" t="inlineStr">
        <is>
          <t>0C93-o</t>
        </is>
      </c>
    </row>
    <row r="693">
      <c r="A693" t="inlineStr">
        <is>
          <t>0C94-au</t>
        </is>
      </c>
    </row>
    <row r="694">
      <c r="A694" t="inlineStr">
        <is>
          <t>0C95-k</t>
        </is>
      </c>
    </row>
    <row r="695">
      <c r="A695" t="inlineStr">
        <is>
          <t>0C96-K</t>
        </is>
      </c>
    </row>
    <row r="696">
      <c r="A696" t="inlineStr">
        <is>
          <t>0C97-ga</t>
        </is>
      </c>
    </row>
    <row r="697">
      <c r="A697" t="inlineStr">
        <is>
          <t>0C98-gha</t>
        </is>
      </c>
    </row>
    <row r="698">
      <c r="A698" t="inlineStr">
        <is>
          <t>0C99-nga</t>
        </is>
      </c>
    </row>
    <row r="699">
      <c r="A699" t="inlineStr">
        <is>
          <t>0C9A-ca</t>
        </is>
      </c>
    </row>
    <row r="700">
      <c r="A700" t="inlineStr">
        <is>
          <t>0C9B-C#C=ch</t>
        </is>
      </c>
    </row>
    <row r="701">
      <c r="A701" t="inlineStr">
        <is>
          <t>0C9C-z</t>
        </is>
      </c>
    </row>
    <row r="702">
      <c r="A702" t="inlineStr">
        <is>
          <t>0C9D-Z#Z=zh</t>
        </is>
      </c>
    </row>
    <row r="703">
      <c r="A703" t="inlineStr">
        <is>
          <t>0C9E-n</t>
        </is>
      </c>
    </row>
    <row r="704">
      <c r="A704" t="inlineStr">
        <is>
          <t>0C9F-t</t>
        </is>
      </c>
    </row>
    <row r="705">
      <c r="A705" t="inlineStr">
        <is>
          <t>0CA0-J</t>
        </is>
      </c>
    </row>
    <row r="706">
      <c r="A706" t="inlineStr">
        <is>
          <t>0CA1-d</t>
        </is>
      </c>
    </row>
    <row r="707">
      <c r="A707" t="inlineStr">
        <is>
          <t>0CA2-Q</t>
        </is>
      </c>
    </row>
    <row r="708">
      <c r="A708" t="inlineStr">
        <is>
          <t>0CA3-n</t>
        </is>
      </c>
    </row>
    <row r="709">
      <c r="A709" t="inlineStr">
        <is>
          <t>0CA4-T</t>
        </is>
      </c>
    </row>
    <row r="710">
      <c r="A710" t="inlineStr">
        <is>
          <t>0CA5-j</t>
        </is>
      </c>
    </row>
    <row r="711">
      <c r="A711" t="inlineStr">
        <is>
          <t>0CA6-D#Dwai</t>
        </is>
      </c>
    </row>
    <row r="712">
      <c r="A712" t="inlineStr">
        <is>
          <t>0CA7-q#q=Dh#qnush</t>
        </is>
      </c>
    </row>
    <row r="713">
      <c r="A713" t="inlineStr">
        <is>
          <t>0CA8-n</t>
        </is>
      </c>
    </row>
    <row r="714">
      <c r="A714" t="inlineStr">
        <is>
          <t>0CAA-p</t>
        </is>
      </c>
    </row>
    <row r="715">
      <c r="A715" t="inlineStr">
        <is>
          <t>0CAB-f</t>
        </is>
      </c>
    </row>
    <row r="716">
      <c r="A716" t="inlineStr">
        <is>
          <t>0CAC-b</t>
        </is>
      </c>
    </row>
    <row r="717">
      <c r="A717" t="inlineStr">
        <is>
          <t>0CAD-B#B=bh</t>
        </is>
      </c>
    </row>
    <row r="718">
      <c r="A718" t="inlineStr">
        <is>
          <t>0CAE-m</t>
        </is>
      </c>
    </row>
    <row r="719">
      <c r="A719" t="inlineStr">
        <is>
          <t>0CAF-y</t>
        </is>
      </c>
    </row>
    <row r="720">
      <c r="A720" t="inlineStr">
        <is>
          <t>0CB0-r</t>
        </is>
      </c>
    </row>
    <row r="721">
      <c r="A721" t="inlineStr">
        <is>
          <t>0CB1-R#R=rr=dh</t>
        </is>
      </c>
    </row>
    <row r="722">
      <c r="A722" t="inlineStr">
        <is>
          <t>0CB2-l</t>
        </is>
      </c>
    </row>
    <row r="723">
      <c r="A723" t="inlineStr">
        <is>
          <t>0CB3-l</t>
        </is>
      </c>
    </row>
    <row r="724">
      <c r="A724" t="inlineStr">
        <is>
          <t>0CB5-w</t>
        </is>
      </c>
    </row>
    <row r="725">
      <c r="A725" t="inlineStr">
        <is>
          <t>0CB6-S#S=sh</t>
        </is>
      </c>
    </row>
    <row r="726">
      <c r="A726" t="inlineStr">
        <is>
          <t>0CB7-s</t>
        </is>
      </c>
    </row>
    <row r="727">
      <c r="A727" t="inlineStr">
        <is>
          <t>0CB8-s</t>
        </is>
      </c>
    </row>
    <row r="728">
      <c r="A728" t="inlineStr">
        <is>
          <t>0CB9-H#zHaz#zhag#khana#kHani</t>
        </is>
      </c>
    </row>
    <row r="729">
      <c r="A729" t="inlineStr">
        <is>
          <t>0CBC-nukta</t>
        </is>
      </c>
    </row>
    <row r="730">
      <c r="A730" t="inlineStr">
        <is>
          <t>0CBD-avagraha</t>
        </is>
      </c>
    </row>
    <row r="731">
      <c r="A731" t="inlineStr">
        <is>
          <t>0CBE-aa</t>
        </is>
      </c>
    </row>
    <row r="732">
      <c r="A732" t="inlineStr">
        <is>
          <t>0CBF-i</t>
        </is>
      </c>
    </row>
    <row r="733">
      <c r="A733" t="inlineStr">
        <is>
          <t>0CC0-i</t>
        </is>
      </c>
    </row>
    <row r="734">
      <c r="A734" t="inlineStr">
        <is>
          <t>0CC1-u</t>
        </is>
      </c>
    </row>
    <row r="735">
      <c r="A735" t="inlineStr">
        <is>
          <t>0CC2-u</t>
        </is>
      </c>
    </row>
    <row r="736">
      <c r="A736" t="inlineStr">
        <is>
          <t>0CC3-VOCALIC R</t>
        </is>
      </c>
    </row>
    <row r="737">
      <c r="A737" t="inlineStr">
        <is>
          <t>0CC4-VOCALIC RR</t>
        </is>
      </c>
    </row>
    <row r="738">
      <c r="A738" t="inlineStr">
        <is>
          <t>0CC6-e</t>
        </is>
      </c>
    </row>
    <row r="739">
      <c r="A739" t="inlineStr">
        <is>
          <t>0CC7-ee</t>
        </is>
      </c>
    </row>
    <row r="740">
      <c r="A740" t="inlineStr">
        <is>
          <t>0CC8-ai</t>
        </is>
      </c>
    </row>
    <row r="741">
      <c r="A741" t="inlineStr">
        <is>
          <t>0CCA-o</t>
        </is>
      </c>
    </row>
    <row r="742">
      <c r="A742" t="inlineStr">
        <is>
          <t>0CCB-o</t>
        </is>
      </c>
    </row>
    <row r="743">
      <c r="A743" t="inlineStr">
        <is>
          <t>0CCC-au</t>
        </is>
      </c>
    </row>
    <row r="744">
      <c r="A744" t="inlineStr">
        <is>
          <t>0CCD-virama</t>
        </is>
      </c>
    </row>
    <row r="745">
      <c r="A745" t="inlineStr">
        <is>
          <t>0CD5-mark</t>
        </is>
      </c>
    </row>
    <row r="746">
      <c r="A746" t="inlineStr">
        <is>
          <t>0CD6-mark</t>
        </is>
      </c>
    </row>
    <row r="747">
      <c r="A747" t="inlineStr">
        <is>
          <t>0CDC-shrii</t>
        </is>
      </c>
    </row>
    <row r="748">
      <c r="A748" t="inlineStr">
        <is>
          <t>0CDD-pollu</t>
        </is>
      </c>
    </row>
    <row r="749">
      <c r="A749" t="inlineStr">
        <is>
          <t>0CDE-fa</t>
        </is>
      </c>
    </row>
    <row r="750">
      <c r="A750" t="inlineStr">
        <is>
          <t>0CE0-R</t>
        </is>
      </c>
    </row>
    <row r="751">
      <c r="A751" t="inlineStr">
        <is>
          <t>0CE1-l</t>
        </is>
      </c>
    </row>
    <row r="752">
      <c r="A752" t="inlineStr">
        <is>
          <t>0CE2-VOCALIC L</t>
        </is>
      </c>
    </row>
    <row r="753">
      <c r="A753" t="inlineStr">
        <is>
          <t>0CE3-VOCALIC LL</t>
        </is>
      </c>
    </row>
    <row r="754">
      <c r="A754" t="inlineStr">
        <is>
          <t>0CE4-&lt;reserved&gt;</t>
        </is>
      </c>
    </row>
    <row r="755">
      <c r="A755" t="inlineStr">
        <is>
          <t>0CE5-&lt;reserved&gt;</t>
        </is>
      </c>
    </row>
    <row r="756">
      <c r="A756" t="inlineStr">
        <is>
          <t>0CE6-0</t>
        </is>
      </c>
    </row>
    <row r="757">
      <c r="A757" t="inlineStr">
        <is>
          <t>0CE7-1</t>
        </is>
      </c>
    </row>
    <row r="758">
      <c r="A758" t="inlineStr">
        <is>
          <t>0CE8-2</t>
        </is>
      </c>
    </row>
    <row r="759">
      <c r="A759" t="inlineStr">
        <is>
          <t>0CE9-3</t>
        </is>
      </c>
    </row>
    <row r="760">
      <c r="A760" t="inlineStr">
        <is>
          <t>0CEA-4</t>
        </is>
      </c>
    </row>
    <row r="761">
      <c r="A761" t="inlineStr">
        <is>
          <t>0CEB-5</t>
        </is>
      </c>
    </row>
    <row r="762">
      <c r="A762" t="inlineStr">
        <is>
          <t>0CEC-6</t>
        </is>
      </c>
    </row>
    <row r="763">
      <c r="A763" t="inlineStr">
        <is>
          <t>0CED-7</t>
        </is>
      </c>
    </row>
    <row r="764">
      <c r="A764" t="inlineStr">
        <is>
          <t>0CEE-8</t>
        </is>
      </c>
    </row>
    <row r="765">
      <c r="A765" t="inlineStr">
        <is>
          <t>0CEF-9</t>
        </is>
      </c>
    </row>
    <row r="766">
      <c r="A766" t="inlineStr">
        <is>
          <t>0CF1-jihvamuliya</t>
        </is>
      </c>
    </row>
    <row r="767">
      <c r="A767" t="inlineStr">
        <is>
          <t>0CF2-upadhmaniya</t>
        </is>
      </c>
    </row>
    <row r="768">
      <c r="A768" t="inlineStr">
        <is>
          <t>0CF3-ANUSVARA ABOVE RIGHT</t>
        </is>
      </c>
    </row>
    <row r="769">
      <c r="A769" t="inlineStr">
        <is>
          <t>0D00-ANUSVARA ABOVE</t>
        </is>
      </c>
    </row>
    <row r="770">
      <c r="A770" t="inlineStr">
        <is>
          <t>0D01-candrabindu</t>
        </is>
      </c>
    </row>
    <row r="771">
      <c r="A771" t="inlineStr">
        <is>
          <t>0D02-anusvara</t>
        </is>
      </c>
    </row>
    <row r="772">
      <c r="A772" t="inlineStr">
        <is>
          <t>0D03-visarga</t>
        </is>
      </c>
    </row>
    <row r="773">
      <c r="A773" t="inlineStr">
        <is>
          <t>0D04-anusvara</t>
        </is>
      </c>
    </row>
    <row r="774">
      <c r="A774" t="inlineStr">
        <is>
          <t>0D05-A</t>
        </is>
      </c>
    </row>
    <row r="775">
      <c r="A775" t="inlineStr">
        <is>
          <t>0D06-aa</t>
        </is>
      </c>
    </row>
    <row r="776">
      <c r="A776" t="inlineStr">
        <is>
          <t>0D07-i</t>
        </is>
      </c>
    </row>
    <row r="777">
      <c r="A777" t="inlineStr">
        <is>
          <t>0D08-i</t>
        </is>
      </c>
    </row>
    <row r="778">
      <c r="A778" t="inlineStr">
        <is>
          <t>0D09-u</t>
        </is>
      </c>
    </row>
    <row r="779">
      <c r="A779" t="inlineStr">
        <is>
          <t>0D0A-u</t>
        </is>
      </c>
    </row>
    <row r="780">
      <c r="A780" t="inlineStr">
        <is>
          <t>0D0B-r</t>
        </is>
      </c>
    </row>
    <row r="781">
      <c r="A781" t="inlineStr">
        <is>
          <t>0D0C-l</t>
        </is>
      </c>
    </row>
    <row r="782">
      <c r="A782" t="inlineStr">
        <is>
          <t>0D0E-e</t>
        </is>
      </c>
    </row>
    <row r="783">
      <c r="A783" t="inlineStr">
        <is>
          <t>0D0F-ee</t>
        </is>
      </c>
    </row>
    <row r="784">
      <c r="A784" t="inlineStr">
        <is>
          <t>0D10-ai</t>
        </is>
      </c>
    </row>
    <row r="785">
      <c r="A785" t="inlineStr">
        <is>
          <t>0D12-o</t>
        </is>
      </c>
    </row>
    <row r="786">
      <c r="A786" t="inlineStr">
        <is>
          <t>0D13-o</t>
        </is>
      </c>
    </row>
    <row r="787">
      <c r="A787" t="inlineStr">
        <is>
          <t>0D14-au</t>
        </is>
      </c>
    </row>
    <row r="788">
      <c r="A788" t="inlineStr">
        <is>
          <t>0D15-k</t>
        </is>
      </c>
    </row>
    <row r="789">
      <c r="A789" t="inlineStr">
        <is>
          <t>0D16-K</t>
        </is>
      </c>
    </row>
    <row r="790">
      <c r="A790" t="inlineStr">
        <is>
          <t>0D17-ga</t>
        </is>
      </c>
    </row>
    <row r="791">
      <c r="A791" t="inlineStr">
        <is>
          <t>0D18-gha</t>
        </is>
      </c>
    </row>
    <row r="792">
      <c r="A792" t="inlineStr">
        <is>
          <t>0D19-nga</t>
        </is>
      </c>
    </row>
    <row r="793">
      <c r="A793" t="inlineStr">
        <is>
          <t>0D1A-c</t>
        </is>
      </c>
    </row>
    <row r="794">
      <c r="A794" t="inlineStr">
        <is>
          <t>0D1B-chha</t>
        </is>
      </c>
    </row>
    <row r="795">
      <c r="A795" t="inlineStr">
        <is>
          <t>0D1C-z</t>
        </is>
      </c>
    </row>
    <row r="796">
      <c r="A796" t="inlineStr">
        <is>
          <t>0D1D-Z#Z=zh</t>
        </is>
      </c>
    </row>
    <row r="797">
      <c r="A797" t="inlineStr">
        <is>
          <t>0D1E-nha</t>
        </is>
      </c>
    </row>
    <row r="798">
      <c r="A798" t="inlineStr">
        <is>
          <t>0D1F-T</t>
        </is>
      </c>
    </row>
    <row r="799">
      <c r="A799" t="inlineStr">
        <is>
          <t>0D20-t</t>
        </is>
      </c>
    </row>
    <row r="800">
      <c r="A800" t="inlineStr">
        <is>
          <t>0D21-D#Dwai</t>
        </is>
      </c>
    </row>
    <row r="801">
      <c r="A801" t="inlineStr">
        <is>
          <t>0D22-d</t>
        </is>
      </c>
    </row>
    <row r="802">
      <c r="A802" t="inlineStr">
        <is>
          <t>0D23-n</t>
        </is>
      </c>
    </row>
    <row r="803">
      <c r="A803" t="inlineStr">
        <is>
          <t>0D24-j</t>
        </is>
      </c>
    </row>
    <row r="804">
      <c r="A804" t="inlineStr">
        <is>
          <t>0D25-J</t>
        </is>
      </c>
    </row>
    <row r="805">
      <c r="A805" t="inlineStr">
        <is>
          <t>0D26-D#Dwai</t>
        </is>
      </c>
    </row>
    <row r="806">
      <c r="A806" t="inlineStr">
        <is>
          <t>0D27-d</t>
        </is>
      </c>
    </row>
    <row r="807">
      <c r="A807" t="inlineStr">
        <is>
          <t>0D28-n</t>
        </is>
      </c>
    </row>
    <row r="808">
      <c r="A808" t="inlineStr">
        <is>
          <t>0D29-n</t>
        </is>
      </c>
    </row>
    <row r="809">
      <c r="A809" t="inlineStr">
        <is>
          <t>0D2A-p</t>
        </is>
      </c>
    </row>
    <row r="810">
      <c r="A810" t="inlineStr">
        <is>
          <t>0D2B-f</t>
        </is>
      </c>
    </row>
    <row r="811">
      <c r="A811" t="inlineStr">
        <is>
          <t>0D2C-b</t>
        </is>
      </c>
    </row>
    <row r="812">
      <c r="A812" t="inlineStr">
        <is>
          <t>0D2D-B#B=bh</t>
        </is>
      </c>
    </row>
    <row r="813">
      <c r="A813" t="inlineStr">
        <is>
          <t>0D2E-m</t>
        </is>
      </c>
    </row>
    <row r="814">
      <c r="A814" t="inlineStr">
        <is>
          <t>0D2F-y</t>
        </is>
      </c>
    </row>
    <row r="815">
      <c r="A815" t="inlineStr">
        <is>
          <t>0D30-r</t>
        </is>
      </c>
    </row>
    <row r="816">
      <c r="A816" t="inlineStr">
        <is>
          <t>0D31-R#R=rr=dh</t>
        </is>
      </c>
    </row>
    <row r="817">
      <c r="A817" t="inlineStr">
        <is>
          <t>0D32-l</t>
        </is>
      </c>
    </row>
    <row r="818">
      <c r="A818" t="inlineStr">
        <is>
          <t>0D33-l</t>
        </is>
      </c>
    </row>
    <row r="819">
      <c r="A819" t="inlineStr">
        <is>
          <t>0D34-zha</t>
        </is>
      </c>
    </row>
    <row r="820">
      <c r="A820" t="inlineStr">
        <is>
          <t>0D35-w</t>
        </is>
      </c>
    </row>
    <row r="821">
      <c r="A821" t="inlineStr">
        <is>
          <t>0D36-S#S=sh</t>
        </is>
      </c>
    </row>
    <row r="822">
      <c r="A822" t="inlineStr">
        <is>
          <t>0D37-S#S=sh</t>
        </is>
      </c>
    </row>
    <row r="823">
      <c r="A823" t="inlineStr">
        <is>
          <t>0D38-s</t>
        </is>
      </c>
    </row>
    <row r="824">
      <c r="A824" t="inlineStr">
        <is>
          <t>0D39-H#zHaz#zhag#khana#kHani</t>
        </is>
      </c>
    </row>
    <row r="825">
      <c r="A825" t="inlineStr">
        <is>
          <t>0D3A-ttta</t>
        </is>
      </c>
    </row>
    <row r="826">
      <c r="A826" t="inlineStr">
        <is>
          <t>0D3B-BAR VIRAMA</t>
        </is>
      </c>
    </row>
    <row r="827">
      <c r="A827" t="inlineStr">
        <is>
          <t>0D3C-virama</t>
        </is>
      </c>
    </row>
    <row r="828">
      <c r="A828" t="inlineStr">
        <is>
          <t>0D3D-praslesham</t>
        </is>
      </c>
    </row>
    <row r="829">
      <c r="A829" t="inlineStr">
        <is>
          <t>0D3E-AA</t>
        </is>
      </c>
    </row>
    <row r="830">
      <c r="A830" t="inlineStr">
        <is>
          <t>0D3F-I</t>
        </is>
      </c>
    </row>
    <row r="831">
      <c r="A831" t="inlineStr">
        <is>
          <t>0D40-II</t>
        </is>
      </c>
    </row>
    <row r="832">
      <c r="A832" t="inlineStr">
        <is>
          <t>0D41-U</t>
        </is>
      </c>
    </row>
    <row r="833">
      <c r="A833" t="inlineStr">
        <is>
          <t>0D42-UU</t>
        </is>
      </c>
    </row>
    <row r="834">
      <c r="A834" t="inlineStr">
        <is>
          <t>0D43-R</t>
        </is>
      </c>
    </row>
    <row r="835">
      <c r="A835" t="inlineStr">
        <is>
          <t>0D44-RR</t>
        </is>
      </c>
    </row>
    <row r="836">
      <c r="A836" t="inlineStr">
        <is>
          <t>0D46-E</t>
        </is>
      </c>
    </row>
    <row r="837">
      <c r="A837" t="inlineStr">
        <is>
          <t>0D47-EE</t>
        </is>
      </c>
    </row>
    <row r="838">
      <c r="A838" t="inlineStr">
        <is>
          <t>0D48-AI</t>
        </is>
      </c>
    </row>
    <row r="839">
      <c r="A839" t="inlineStr">
        <is>
          <t>0D4A-O</t>
        </is>
      </c>
    </row>
    <row r="840">
      <c r="A840" t="inlineStr">
        <is>
          <t>0D4B-OO</t>
        </is>
      </c>
    </row>
    <row r="841">
      <c r="A841" t="inlineStr">
        <is>
          <t>0D4C-AU</t>
        </is>
      </c>
    </row>
    <row r="842">
      <c r="A842" t="inlineStr">
        <is>
          <t>0D4D-nme)</t>
        </is>
      </c>
    </row>
    <row r="843">
      <c r="A843" t="inlineStr">
        <is>
          <t>0D4E-reph</t>
        </is>
      </c>
    </row>
    <row r="844">
      <c r="A844" t="inlineStr">
        <is>
          <t>0D4F-pra</t>
        </is>
      </c>
    </row>
    <row r="845">
      <c r="A845" t="inlineStr">
        <is>
          <t>0D54-m</t>
        </is>
      </c>
    </row>
    <row r="846">
      <c r="A846" t="inlineStr">
        <is>
          <t>0D55-y</t>
        </is>
      </c>
    </row>
    <row r="847">
      <c r="A847" t="inlineStr">
        <is>
          <t>0D56-ll</t>
        </is>
      </c>
    </row>
    <row r="848">
      <c r="A848" t="inlineStr">
        <is>
          <t>0D57-LENGTH MARK</t>
        </is>
      </c>
    </row>
    <row r="849">
      <c r="A849" t="inlineStr">
        <is>
          <t>0D58-arakaani</t>
        </is>
      </c>
    </row>
    <row r="850">
      <c r="A850" t="inlineStr">
        <is>
          <t>0D59-aramaa</t>
        </is>
      </c>
    </row>
    <row r="851">
      <c r="A851" t="inlineStr">
        <is>
          <t>0D5A-muunnukaani</t>
        </is>
      </c>
    </row>
    <row r="852">
      <c r="A852" t="inlineStr">
        <is>
          <t>0D5B-orumaa</t>
        </is>
      </c>
    </row>
    <row r="853">
      <c r="A853" t="inlineStr">
        <is>
          <t>0D5C-rantumaa</t>
        </is>
      </c>
    </row>
    <row r="854">
      <c r="A854" t="inlineStr">
        <is>
          <t>0D5D-muunnumaa</t>
        </is>
      </c>
    </row>
    <row r="855">
      <c r="A855" t="inlineStr">
        <is>
          <t>0D5E-nalumaa</t>
        </is>
      </c>
    </row>
    <row r="856">
      <c r="A856" t="inlineStr">
        <is>
          <t>0D5F-i</t>
        </is>
      </c>
    </row>
    <row r="857">
      <c r="A857" t="inlineStr">
        <is>
          <t>0D60-R</t>
        </is>
      </c>
    </row>
    <row r="858">
      <c r="A858" t="inlineStr">
        <is>
          <t>0D61-l</t>
        </is>
      </c>
    </row>
    <row r="859">
      <c r="A859" t="inlineStr">
        <is>
          <t>0D62-L</t>
        </is>
      </c>
    </row>
    <row r="860">
      <c r="A860" t="inlineStr">
        <is>
          <t>0D63-LL</t>
        </is>
      </c>
    </row>
    <row r="861">
      <c r="A861" t="inlineStr">
        <is>
          <t>0D64-&lt;reserved&gt;</t>
        </is>
      </c>
    </row>
    <row r="862">
      <c r="A862" t="inlineStr">
        <is>
          <t>0D65-&lt;reserved&gt;</t>
        </is>
      </c>
    </row>
    <row r="863">
      <c r="A863" t="inlineStr">
        <is>
          <t>0D66-0</t>
        </is>
      </c>
    </row>
    <row r="864">
      <c r="A864" t="inlineStr">
        <is>
          <t>0D67-1</t>
        </is>
      </c>
    </row>
    <row r="865">
      <c r="A865" t="inlineStr">
        <is>
          <t>0D68-2</t>
        </is>
      </c>
    </row>
    <row r="866">
      <c r="A866" t="inlineStr">
        <is>
          <t>0D69-3</t>
        </is>
      </c>
    </row>
    <row r="867">
      <c r="A867" t="inlineStr">
        <is>
          <t>0D6A-4</t>
        </is>
      </c>
    </row>
    <row r="868">
      <c r="A868" t="inlineStr">
        <is>
          <t>0D6B-5</t>
        </is>
      </c>
    </row>
    <row r="869">
      <c r="A869" t="inlineStr">
        <is>
          <t>0D6C-6</t>
        </is>
      </c>
    </row>
    <row r="870">
      <c r="A870" t="inlineStr">
        <is>
          <t>0D6D-7</t>
        </is>
      </c>
    </row>
    <row r="871">
      <c r="A871" t="inlineStr">
        <is>
          <t>0D6E-8</t>
        </is>
      </c>
    </row>
    <row r="872">
      <c r="A872" t="inlineStr">
        <is>
          <t>0D6F-9</t>
        </is>
      </c>
    </row>
    <row r="873">
      <c r="A873" t="inlineStr">
        <is>
          <t>0D70-ten</t>
        </is>
      </c>
    </row>
    <row r="874">
      <c r="A874" t="inlineStr">
        <is>
          <t>0D71-ONE HUNDRED</t>
        </is>
      </c>
    </row>
    <row r="875">
      <c r="A875" t="inlineStr">
        <is>
          <t>0D72-ONE THOUSAND</t>
        </is>
      </c>
    </row>
    <row r="876">
      <c r="A876" t="inlineStr">
        <is>
          <t>0D73-kal</t>
        </is>
      </c>
    </row>
    <row r="877">
      <c r="A877" t="inlineStr">
        <is>
          <t>0D74-ara</t>
        </is>
      </c>
    </row>
    <row r="878">
      <c r="A878" t="inlineStr">
        <is>
          <t>0D75-mukkaal</t>
        </is>
      </c>
    </row>
    <row r="879">
      <c r="A879" t="inlineStr">
        <is>
          <t>0D76-maakaani</t>
        </is>
      </c>
    </row>
    <row r="880">
      <c r="A880" t="inlineStr">
        <is>
          <t>0D77-arakkaal</t>
        </is>
      </c>
    </row>
    <row r="881">
      <c r="A881" t="inlineStr">
        <is>
          <t>0D78-muntaani</t>
        </is>
      </c>
    </row>
    <row r="882">
      <c r="A882" t="inlineStr">
        <is>
          <t>0D79-mark</t>
        </is>
      </c>
    </row>
    <row r="883">
      <c r="A883" t="inlineStr">
        <is>
          <t>0D7A-nn</t>
        </is>
      </c>
    </row>
    <row r="884">
      <c r="A884" t="inlineStr">
        <is>
          <t>0D7B-n</t>
        </is>
      </c>
    </row>
    <row r="885">
      <c r="A885" t="inlineStr">
        <is>
          <t>0D7C-R</t>
        </is>
      </c>
    </row>
    <row r="886">
      <c r="A886" t="inlineStr">
        <is>
          <t>0D7D-l</t>
        </is>
      </c>
    </row>
    <row r="887">
      <c r="A887" t="inlineStr">
        <is>
          <t>0D7E-l</t>
        </is>
      </c>
    </row>
    <row r="888">
      <c r="A888" t="inlineStr">
        <is>
          <t>0D7F-k</t>
        </is>
      </c>
    </row>
    <row r="889">
      <c r="A889" t="inlineStr">
        <is>
          <t>0D81-candrabindu</t>
        </is>
      </c>
    </row>
    <row r="890">
      <c r="A890" t="inlineStr">
        <is>
          <t>0D82-anusvara</t>
        </is>
      </c>
    </row>
    <row r="891">
      <c r="A891" t="inlineStr">
        <is>
          <t>0D83-visarga</t>
        </is>
      </c>
    </row>
    <row r="892">
      <c r="A892" t="inlineStr">
        <is>
          <t>0D85-A</t>
        </is>
      </c>
    </row>
    <row r="893">
      <c r="A893" t="inlineStr">
        <is>
          <t>0D86-aa</t>
        </is>
      </c>
    </row>
    <row r="894">
      <c r="A894" t="inlineStr">
        <is>
          <t>0D87-e</t>
        </is>
      </c>
    </row>
    <row r="895">
      <c r="A895" t="inlineStr">
        <is>
          <t>0D88-a</t>
        </is>
      </c>
    </row>
    <row r="896">
      <c r="A896" t="inlineStr">
        <is>
          <t>0D89-i</t>
        </is>
      </c>
    </row>
    <row r="897">
      <c r="A897" t="inlineStr">
        <is>
          <t>0D8A-i</t>
        </is>
      </c>
    </row>
    <row r="898">
      <c r="A898" t="inlineStr">
        <is>
          <t>0D8B-u</t>
        </is>
      </c>
    </row>
    <row r="899">
      <c r="A899" t="inlineStr">
        <is>
          <t>0D8C-u</t>
        </is>
      </c>
    </row>
    <row r="900">
      <c r="A900" t="inlineStr">
        <is>
          <t>0D8D-r</t>
        </is>
      </c>
    </row>
    <row r="901">
      <c r="A901" t="inlineStr">
        <is>
          <t>0D8E-R</t>
        </is>
      </c>
    </row>
    <row r="902">
      <c r="A902" t="inlineStr">
        <is>
          <t>0D8F-l</t>
        </is>
      </c>
    </row>
    <row r="903">
      <c r="A903" t="inlineStr">
        <is>
          <t>0D90-l</t>
        </is>
      </c>
    </row>
    <row r="904">
      <c r="A904" t="inlineStr">
        <is>
          <t>0D91-e</t>
        </is>
      </c>
    </row>
    <row r="905">
      <c r="A905" t="inlineStr">
        <is>
          <t>0D92-ee</t>
        </is>
      </c>
    </row>
    <row r="906">
      <c r="A906" t="inlineStr">
        <is>
          <t>0D93-ai</t>
        </is>
      </c>
    </row>
    <row r="907">
      <c r="A907" t="inlineStr">
        <is>
          <t>0D94-o</t>
        </is>
      </c>
    </row>
    <row r="908">
      <c r="A908" t="inlineStr">
        <is>
          <t>0D95-o</t>
        </is>
      </c>
    </row>
    <row r="909">
      <c r="A909" t="inlineStr">
        <is>
          <t>0D96-au</t>
        </is>
      </c>
    </row>
    <row r="910">
      <c r="A910" t="inlineStr">
        <is>
          <t>0D9A-k</t>
        </is>
      </c>
    </row>
    <row r="911">
      <c r="A911" t="inlineStr">
        <is>
          <t>0D9B-K</t>
        </is>
      </c>
    </row>
    <row r="912">
      <c r="A912" t="inlineStr">
        <is>
          <t>0D9C-ga</t>
        </is>
      </c>
    </row>
    <row r="913">
      <c r="A913" t="inlineStr">
        <is>
          <t>0D9D-gha</t>
        </is>
      </c>
    </row>
    <row r="914">
      <c r="A914" t="inlineStr">
        <is>
          <t>0D9E-nga</t>
        </is>
      </c>
    </row>
    <row r="915">
      <c r="A915" t="inlineStr">
        <is>
          <t>0D9F-nnga</t>
        </is>
      </c>
    </row>
    <row r="916">
      <c r="A916" t="inlineStr">
        <is>
          <t>0DA0-ca</t>
        </is>
      </c>
    </row>
    <row r="917">
      <c r="A917" t="inlineStr">
        <is>
          <t>0DA1-C#C=ch</t>
        </is>
      </c>
    </row>
    <row r="918">
      <c r="A918" t="inlineStr">
        <is>
          <t>0DA2-z</t>
        </is>
      </c>
    </row>
    <row r="919">
      <c r="A919" t="inlineStr">
        <is>
          <t>0DA3-Z#Z=zh</t>
        </is>
      </c>
    </row>
    <row r="920">
      <c r="A920" t="inlineStr">
        <is>
          <t>0DA4-n</t>
        </is>
      </c>
    </row>
    <row r="921">
      <c r="A921" t="inlineStr">
        <is>
          <t>0DA5-jnya</t>
        </is>
      </c>
    </row>
    <row r="922">
      <c r="A922" t="inlineStr">
        <is>
          <t>0DA6-nyja</t>
        </is>
      </c>
    </row>
    <row r="923">
      <c r="A923" t="inlineStr">
        <is>
          <t>0DA7-t</t>
        </is>
      </c>
    </row>
    <row r="924">
      <c r="A924" t="inlineStr">
        <is>
          <t>0DA8-J</t>
        </is>
      </c>
    </row>
    <row r="925">
      <c r="A925" t="inlineStr">
        <is>
          <t>0DA9-d</t>
        </is>
      </c>
    </row>
    <row r="926">
      <c r="A926" t="inlineStr">
        <is>
          <t>0DAA-Q</t>
        </is>
      </c>
    </row>
    <row r="927">
      <c r="A927" t="inlineStr">
        <is>
          <t>0DAB-n</t>
        </is>
      </c>
    </row>
    <row r="928">
      <c r="A928" t="inlineStr">
        <is>
          <t>0DAC-nndda</t>
        </is>
      </c>
    </row>
    <row r="929">
      <c r="A929" t="inlineStr">
        <is>
          <t>0DAD-T</t>
        </is>
      </c>
    </row>
    <row r="930">
      <c r="A930" t="inlineStr">
        <is>
          <t>0DAE-j</t>
        </is>
      </c>
    </row>
    <row r="931">
      <c r="A931" t="inlineStr">
        <is>
          <t>0DAF-D#Dwai</t>
        </is>
      </c>
    </row>
    <row r="932">
      <c r="A932" t="inlineStr">
        <is>
          <t>0DB0-q#q=Dh#qnush</t>
        </is>
      </c>
    </row>
    <row r="933">
      <c r="A933" t="inlineStr">
        <is>
          <t>0DB1-n</t>
        </is>
      </c>
    </row>
    <row r="934">
      <c r="A934" t="inlineStr">
        <is>
          <t>0DB3-nda</t>
        </is>
      </c>
    </row>
    <row r="935">
      <c r="A935" t="inlineStr">
        <is>
          <t>0DB4-p</t>
        </is>
      </c>
    </row>
    <row r="936">
      <c r="A936" t="inlineStr">
        <is>
          <t>0DB5-f</t>
        </is>
      </c>
    </row>
    <row r="937">
      <c r="A937" t="inlineStr">
        <is>
          <t>0DB6-b</t>
        </is>
      </c>
    </row>
    <row r="938">
      <c r="A938" t="inlineStr">
        <is>
          <t>0DB7-B#B=bh</t>
        </is>
      </c>
    </row>
    <row r="939">
      <c r="A939" t="inlineStr">
        <is>
          <t>0DB8-m</t>
        </is>
      </c>
    </row>
    <row r="940">
      <c r="A940" t="inlineStr">
        <is>
          <t>0DB9-mba</t>
        </is>
      </c>
    </row>
    <row r="941">
      <c r="A941" t="inlineStr">
        <is>
          <t>0DBA-y</t>
        </is>
      </c>
    </row>
    <row r="942">
      <c r="A942" t="inlineStr">
        <is>
          <t>0DBB-r</t>
        </is>
      </c>
    </row>
    <row r="943">
      <c r="A943" t="inlineStr">
        <is>
          <t>0DBD-l</t>
        </is>
      </c>
    </row>
    <row r="944">
      <c r="A944" t="inlineStr">
        <is>
          <t>0DC0-w</t>
        </is>
      </c>
    </row>
    <row r="945">
      <c r="A945" t="inlineStr">
        <is>
          <t>0DC1-S#S=sh</t>
        </is>
      </c>
    </row>
    <row r="946">
      <c r="A946" t="inlineStr">
        <is>
          <t>0DC2-s</t>
        </is>
      </c>
    </row>
    <row r="947">
      <c r="A947" t="inlineStr">
        <is>
          <t>0DC3-s</t>
        </is>
      </c>
    </row>
    <row r="948">
      <c r="A948" t="inlineStr">
        <is>
          <t>0DC4-H#zHaz#zhag#khana#kHani</t>
        </is>
      </c>
    </row>
    <row r="949">
      <c r="A949" t="inlineStr">
        <is>
          <t>0DC5-l</t>
        </is>
      </c>
    </row>
    <row r="950">
      <c r="A950" t="inlineStr">
        <is>
          <t>0DC6-fa</t>
        </is>
      </c>
    </row>
    <row r="951">
      <c r="A951" t="inlineStr">
        <is>
          <t>0DCA-virama</t>
        </is>
      </c>
    </row>
    <row r="952">
      <c r="A952" t="inlineStr">
        <is>
          <t>0DCF-aa</t>
        </is>
      </c>
    </row>
    <row r="953">
      <c r="A953" t="inlineStr">
        <is>
          <t>0DD0-e</t>
        </is>
      </c>
    </row>
    <row r="954">
      <c r="A954" t="inlineStr">
        <is>
          <t>0DD1-a</t>
        </is>
      </c>
    </row>
    <row r="955">
      <c r="A955" t="inlineStr">
        <is>
          <t>0DD2-i</t>
        </is>
      </c>
    </row>
    <row r="956">
      <c r="A956" t="inlineStr">
        <is>
          <t>0DD3-i</t>
        </is>
      </c>
    </row>
    <row r="957">
      <c r="A957" t="inlineStr">
        <is>
          <t>0DD4-u</t>
        </is>
      </c>
    </row>
    <row r="958">
      <c r="A958" t="inlineStr">
        <is>
          <t>0DD6-u</t>
        </is>
      </c>
    </row>
    <row r="959">
      <c r="A959" t="inlineStr">
        <is>
          <t>0DD8-r</t>
        </is>
      </c>
    </row>
    <row r="960">
      <c r="A960" t="inlineStr">
        <is>
          <t>0DD9-e</t>
        </is>
      </c>
    </row>
    <row r="961">
      <c r="A961" t="inlineStr">
        <is>
          <t>0DDA-ee</t>
        </is>
      </c>
    </row>
    <row r="962">
      <c r="A962" t="inlineStr">
        <is>
          <t>0DDB-ai</t>
        </is>
      </c>
    </row>
    <row r="963">
      <c r="A963" t="inlineStr">
        <is>
          <t>0DDC-o</t>
        </is>
      </c>
    </row>
    <row r="964">
      <c r="A964" t="inlineStr">
        <is>
          <t>0DDD-o</t>
        </is>
      </c>
    </row>
    <row r="965">
      <c r="A965" t="inlineStr">
        <is>
          <t>0DDE-au</t>
        </is>
      </c>
    </row>
    <row r="966">
      <c r="A966" t="inlineStr">
        <is>
          <t>0DDF-l</t>
        </is>
      </c>
    </row>
    <row r="967">
      <c r="A967" t="inlineStr">
        <is>
          <t>0DF2-R</t>
        </is>
      </c>
    </row>
    <row r="968">
      <c r="A968" t="inlineStr">
        <is>
          <t>0DF3-l</t>
        </is>
      </c>
    </row>
    <row r="969">
      <c r="A969" t="inlineStr">
        <is>
          <t>0DF4-kunddaliya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2026-10-29T02:00:14Z</dcterms:created>
  <dcterms:modified xsi:type="dcterms:W3CDTF">2026-10-29T02:04:08Z</dcterms:modified>
</cp:coreProperties>
</file>